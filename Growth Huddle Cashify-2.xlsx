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dustry Updates" sheetId="1" r:id="rId4"/>
    <sheet state="visible" name="MIS Dashboard" sheetId="2" r:id="rId5"/>
    <sheet state="visible" name="Public Markets" sheetId="3" r:id="rId6"/>
    <sheet state="hidden" name="All Companies" sheetId="4" r:id="rId7"/>
    <sheet state="visible" name="Con Call Summary" sheetId="5" r:id="rId8"/>
    <sheet state="hidden" name="M&amp;A" sheetId="6" r:id="rId9"/>
    <sheet state="hidden" name="Hiring" sheetId="7" r:id="rId10"/>
    <sheet state="visible" name="Exit Thinking" sheetId="8" r:id="rId11"/>
    <sheet state="visible" name="Special Projects" sheetId="9" r:id="rId12"/>
    <sheet state="visible" name="Sheet1" sheetId="10" r:id="rId13"/>
  </sheets>
  <externalReferences>
    <externalReference r:id="rId14"/>
  </externalReferences>
  <definedNames>
    <definedName name="CIQWBGuid">"9b8b128a-ea69-4f95-8ab7-4b521b087d2d"</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"04/25/2019 07:38:24"</definedName>
    <definedName name="IQ_NTM">6000</definedName>
    <definedName name="IQ_QTD">750000</definedName>
    <definedName name="IQ_TODAY">0</definedName>
    <definedName name="IQ_WEEK">50000</definedName>
    <definedName name="IQ_YTD">3000</definedName>
    <definedName name="IQ_YTDMONTH">130000</definedName>
    <definedName hidden="1" localSheetId="4" name="_xlnm._FilterDatabase">'Con Call Summary'!$A$2:$L$66</definedName>
  </definedNames>
  <calcPr/>
  <extLst>
    <ext uri="GoogleSheetsCustomDataVersion2">
      <go:sheetsCustomData xmlns:go="http://customooxmlschemas.google.com/" r:id="rId15" roundtripDataChecksum="+mjPq843B5MmRriRxHWCsqj4dM7QQSTtAb41LvtbuB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Y25">
      <text>
        <t xml:space="preserve">======
ID#AAAB90zGwE4
skill    (2026-06-19 05:10:38)
[M] from model file</t>
      </text>
    </comment>
    <comment authorId="0" ref="AD29">
      <text>
        <t xml:space="preserve">======
ID#AAAB90zGwC8
skill    (2026-06-19 05:10:38)
[M] from model file</t>
      </text>
    </comment>
    <comment authorId="0" ref="Y23">
      <text>
        <t xml:space="preserve">======
ID#AAAB90zGwEo
skill    (2026-06-19 05:10:38)
[M] from model file</t>
      </text>
    </comment>
    <comment authorId="0" ref="AD25">
      <text>
        <t xml:space="preserve">======
ID#AAAB90zGwDo
skill    (2026-06-19 05:10:38)
[M] from model file</t>
      </text>
    </comment>
    <comment authorId="0" ref="AD23">
      <text>
        <t xml:space="preserve">======
ID#AAAB90zGwDc
skill    (2026-06-19 05:10:38)
[M] from model file</t>
      </text>
    </comment>
    <comment authorId="0" ref="Y13">
      <text>
        <t xml:space="preserve">======
ID#AAAB90zGwEg
skill    (2026-06-19 05:10:38)
[M] from model file</t>
      </text>
    </comment>
    <comment authorId="0" ref="Y11">
      <text>
        <t xml:space="preserve">======
ID#AAAB90zGwFQ
skill    (2026-06-19 05:10:38)
[M] from model file</t>
      </text>
    </comment>
    <comment authorId="0" ref="Y9">
      <text>
        <t xml:space="preserve">======
ID#AAAB90zGwEU
skill    (2026-06-19 05:10:38)
[M] from model file</t>
      </text>
    </comment>
    <comment authorId="0" ref="AD13">
      <text>
        <t xml:space="preserve">======
ID#AAAB90zGwFI
skill    (2026-06-19 05:10:38)
[M] from model file</t>
      </text>
    </comment>
    <comment authorId="0" ref="Y7">
      <text>
        <t xml:space="preserve">======
ID#AAAB90zGwEA
skill    (2026-06-19 05:10:38)
[M] from model file</t>
      </text>
    </comment>
    <comment authorId="0" ref="AD11">
      <text>
        <t xml:space="preserve">======
ID#AAAB90zGwEQ
skill    (2026-06-19 05:10:38)
[M] from model file</t>
      </text>
    </comment>
    <comment authorId="0" ref="Y5">
      <text>
        <t xml:space="preserve">======
ID#AAAB90zGwCk
skill    (2026-06-19 05:10:38)
[M] from model file</t>
      </text>
    </comment>
    <comment authorId="0" ref="AD9">
      <text>
        <t xml:space="preserve">======
ID#AAAB90zGwC4
skill    (2026-06-19 05:10:38)
[M] from model file</t>
      </text>
    </comment>
    <comment authorId="0" ref="Y3">
      <text>
        <t xml:space="preserve">======
ID#AAAB90zGwDU
skill    (2026-06-19 05:10:38)
[M] from model file</t>
      </text>
    </comment>
    <comment authorId="0" ref="AD7">
      <text>
        <t xml:space="preserve">======
ID#AAAB90zGwDE
skill    (2026-06-19 05:10:38)
[M] from model file</t>
      </text>
    </comment>
    <comment authorId="0" ref="AD5">
      <text>
        <t xml:space="preserve">======
ID#AAAB90zGwFo
skill    (2026-06-19 05:10:38)
[M] from model file</t>
      </text>
    </comment>
    <comment authorId="0" ref="Y32">
      <text>
        <t xml:space="preserve">======
ID#AAAB90zGwDI
skill    (2026-06-19 05:10:38)
[M] from model file</t>
      </text>
    </comment>
    <comment authorId="0" ref="Y30">
      <text>
        <t xml:space="preserve">======
ID#AAAB90zGwD0
skill    (2026-06-19 05:10:38)
[M] from model file</t>
      </text>
    </comment>
    <comment authorId="0" ref="AD3">
      <text>
        <t xml:space="preserve">======
ID#AAAB90zGwDY
skill    (2026-06-19 05:10:38)
[M] from model file</t>
      </text>
    </comment>
    <comment authorId="0" ref="AD32">
      <text>
        <t xml:space="preserve">======
ID#AAAB90zGwDk
skill    (2026-06-19 05:10:38)
[M] from model file</t>
      </text>
    </comment>
    <comment authorId="0" ref="Y26">
      <text>
        <t xml:space="preserve">======
ID#AAAB90zGwFM
skill    (2026-06-19 05:10:38)
[M] from model file</t>
      </text>
    </comment>
    <comment authorId="0" ref="AD30">
      <text>
        <t xml:space="preserve">======
ID#AAAB90zGwEw
skill    (2026-06-19 05:10:38)
[M] from model file</t>
      </text>
    </comment>
    <comment authorId="0" ref="Y24">
      <text>
        <t xml:space="preserve">======
ID#AAAB90zGwDM
skill    (2026-06-19 05:10:38)
[M] from model file</t>
      </text>
    </comment>
    <comment authorId="0" ref="Y22">
      <text>
        <t xml:space="preserve">======
ID#AAAB90zGwFU
skill    (2026-06-19 05:10:38)
[M] from model file</t>
      </text>
    </comment>
    <comment authorId="0" ref="AD26">
      <text>
        <t xml:space="preserve">======
ID#AAAB90zGwCo
skill    (2026-06-19 05:10:38)
[M] from model file</t>
      </text>
    </comment>
    <comment authorId="0" ref="AD24">
      <text>
        <t xml:space="preserve">======
ID#AAAB90zGwFY
skill    (2026-06-19 05:10:38)
[M] from model file</t>
      </text>
    </comment>
    <comment authorId="0" ref="AD22">
      <text>
        <t xml:space="preserve">======
ID#AAAB90zGwCs
skill    (2026-06-19 05:10:38)
[M] from model file</t>
      </text>
    </comment>
    <comment authorId="0" ref="Y14">
      <text>
        <t xml:space="preserve">======
ID#AAAB90zGwE0
skill    (2026-06-19 05:10:38)
[M] from model file</t>
      </text>
    </comment>
    <comment authorId="0" ref="Y12">
      <text>
        <t xml:space="preserve">======
ID#AAAB90zGwEc
skill    (2026-06-19 05:10:38)
[M] from model file</t>
      </text>
    </comment>
    <comment authorId="0" ref="Y10">
      <text>
        <t xml:space="preserve">======
ID#AAAB90zGwEk
skill    (2026-06-19 05:10:38)
[M] from model file</t>
      </text>
    </comment>
    <comment authorId="0" ref="AD14">
      <text>
        <t xml:space="preserve">======
ID#AAAB90zGwDs
skill    (2026-06-19 05:10:38)
[M] from model file</t>
      </text>
    </comment>
    <comment authorId="0" ref="Y8">
      <text>
        <t xml:space="preserve">======
ID#AAAB90zGwFE
skill    (2026-06-19 05:10:38)
[M] from model file</t>
      </text>
    </comment>
    <comment authorId="0" ref="AD12">
      <text>
        <t xml:space="preserve">======
ID#AAAB90zGwFg
skill    (2026-06-19 05:10:38)
[M] from model file</t>
      </text>
    </comment>
    <comment authorId="0" ref="Y6">
      <text>
        <t xml:space="preserve">======
ID#AAAB90zGwEI
skill    (2026-06-19 05:10:38)
[M] from model file</t>
      </text>
    </comment>
    <comment authorId="0" ref="AD10">
      <text>
        <t xml:space="preserve">======
ID#AAAB90zGwEY
skill    (2026-06-19 05:10:38)
[M] from model file</t>
      </text>
    </comment>
    <comment authorId="0" ref="Y4">
      <text>
        <t xml:space="preserve">======
ID#AAAB90zGwFk
skill    (2026-06-19 05:10:38)
[M] from model file</t>
      </text>
    </comment>
    <comment authorId="0" ref="AD8">
      <text>
        <t xml:space="preserve">======
ID#AAAB90zGwD4
skill    (2026-06-19 05:10:38)
[M] from model file</t>
      </text>
    </comment>
    <comment authorId="0" ref="Y2">
      <text>
        <t xml:space="preserve">======
ID#AAAB90zGwD8
skill    (2026-06-19 05:10:38)
[M] from model file</t>
      </text>
    </comment>
    <comment authorId="0" ref="Y33">
      <text>
        <t xml:space="preserve">======
ID#AAAB90zGwE8
skill    (2026-06-19 05:10:38)
[M] from model file</t>
      </text>
    </comment>
    <comment authorId="0" ref="AD6">
      <text>
        <t xml:space="preserve">======
ID#AAAB90zGwEM
skill    (2026-06-19 05:10:38)
[M] from model file</t>
      </text>
    </comment>
    <comment authorId="0" ref="Y31">
      <text>
        <t xml:space="preserve">======
ID#AAAB90zGwDQ
skill    (2026-06-19 05:10:38)
[M] from model file</t>
      </text>
    </comment>
    <comment authorId="0" ref="AD4">
      <text>
        <t xml:space="preserve">======
ID#AAAB90zGwCw
skill    (2026-06-19 05:10:38)
[M] from model file</t>
      </text>
    </comment>
    <comment authorId="0" ref="Y29">
      <text>
        <t xml:space="preserve">======
ID#AAAB90zGwFc
skill    (2026-06-19 05:10:38)
[M] from model file</t>
      </text>
    </comment>
    <comment authorId="0" ref="AD2">
      <text>
        <t xml:space="preserve">======
ID#AAAB90zGwDg
skill    (2026-06-19 05:10:38)
[M] from model file</t>
      </text>
    </comment>
    <comment authorId="0" ref="AD33">
      <text>
        <t xml:space="preserve">======
ID#AAAB90zGwDw
skill    (2026-06-19 05:10:38)
[M] from model file</t>
      </text>
    </comment>
    <comment authorId="0" ref="AD31">
      <text>
        <t xml:space="preserve">======
ID#AAAB90zGwEE
skill    (2026-06-19 05:10:38)
[M] from model file</t>
      </text>
    </comment>
  </commentList>
  <extLst>
    <ext uri="GoogleSheetsCustomDataVersion2">
      <go:sheetsCustomData xmlns:go="http://customooxmlschemas.google.com/" r:id="rId1" roundtripDataSignature="AMtx7mgxoNJqvqd1eYb0x+G7UJlSY560a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
ID#AAAB90zGwDA
    (2026-06-19 05:10:38)
Revenue should be a function of the two operating metrics; i.e.
Rev = #Opr 1 x #Opr 2
	-Chaitanya Marulkar
If one metric is transactions or oders etc, you may have to comment on the metric, whats the legend to be used, mn, k or 000
	-Vikram Gawande
That's to be noted in the 2 Operating Metrics column
	-Chaitanya Marulkar</t>
      </text>
    </comment>
    <comment authorId="0" ref="B11">
      <text>
        <t xml:space="preserve">======
ID#AAAB90zGwFA
    (2026-06-19 05:10:38)
Provisioned 100%
	-Sanjana Uthappa</t>
      </text>
    </comment>
    <comment authorId="0" ref="U11">
      <text>
        <t xml:space="preserve">======
ID#AAAB90zGwC0
    (2026-06-19 05:10:38)
To be filled from earlier targets
	-Chaitanya Marulkar</t>
      </text>
    </comment>
    <comment authorId="0" ref="G11">
      <text>
        <t xml:space="preserve">======
ID#AAAB90zGwEs
    (2026-06-19 05:10:38)
For those on DPI track, fill till FY28
For others, fill till FY26
	-Chaitanya Marulkar</t>
      </text>
    </comment>
  </commentList>
  <extLst>
    <ext uri="GoogleSheetsCustomDataVersion2">
      <go:sheetsCustomData xmlns:go="http://customooxmlschemas.google.com/" r:id="rId1" roundtripDataSignature="AMtx7mh+HgaXEqLqQClG6OE3oDHcsMdCGA=="/>
    </ext>
  </extLst>
</comments>
</file>

<file path=xl/sharedStrings.xml><?xml version="1.0" encoding="utf-8"?>
<sst xmlns="http://schemas.openxmlformats.org/spreadsheetml/2006/main" count="1594" uniqueCount="960">
  <si>
    <t>Notable Industry Updates</t>
  </si>
  <si>
    <t>Headline</t>
  </si>
  <si>
    <t>Possible Impact</t>
  </si>
  <si>
    <t>Link</t>
  </si>
  <si>
    <t>Boult joins forces with Cashify for retail expansion</t>
  </si>
  <si>
    <t>Increase in revenues, higher cross sell opportunity, increase in margins</t>
  </si>
  <si>
    <t>https://click.pstmrk.it/3s/in.fashionnetwork.com%2Fnews%2FBoult-joins-forces-with-cashify-for-retail-expansion%2C1683882.html/AdUd/VOW5AQ/AQ/af7e2804-a62e-40a0-b60f-ca1dd1ba8532/4/akdtGUL-G8</t>
  </si>
  <si>
    <t>Surge in demand for refurbished mobiles</t>
  </si>
  <si>
    <t>Increase in acceptability and demand leading to higher volumes</t>
  </si>
  <si>
    <t>https://brandequity.economictimes.indiatimes.com/news/research/surge-in-demand-for-refurbished-smartphones-report/113652072</t>
  </si>
  <si>
    <t>Logitech expands refurbished offering through its online platform</t>
  </si>
  <si>
    <t>Increase in competition</t>
  </si>
  <si>
    <t>https://www.stocktitan.net/news/LOGI/renewed-reliable-ievv6y0gc1pb.html</t>
  </si>
  <si>
    <t>GNG Electronics files DRHP to raise Rs. 825 cr</t>
  </si>
  <si>
    <t>https://www.livemint.com/market/ipo/gng-electronics-eyes-ipo-route-to-raise-825-crore-files-drhp-with-sebi-11734251122603.html</t>
  </si>
  <si>
    <t>Refurbished Laptop Market: $0.8 billion</t>
  </si>
  <si>
    <t>FY29: $3.3 Bn</t>
  </si>
  <si>
    <t>11% organized to go to over 30% organized</t>
  </si>
  <si>
    <t>1Lattice Analysis</t>
  </si>
  <si>
    <t>Refurbished Phone Market: $1.6 bn</t>
  </si>
  <si>
    <t>FY29: $6.1 Bn</t>
  </si>
  <si>
    <t>Cashify Percentage of Refurbished Phone Market: ~5% </t>
  </si>
  <si>
    <t>Smartphones sold in India</t>
  </si>
  <si>
    <t>200 Mn</t>
  </si>
  <si>
    <t>Laptops sold in India</t>
  </si>
  <si>
    <t xml:space="preserve">~14 Mn </t>
  </si>
  <si>
    <t>Particulars</t>
  </si>
  <si>
    <t>May '25</t>
  </si>
  <si>
    <t>May '26</t>
  </si>
  <si>
    <t>Growth (y-o-y)</t>
  </si>
  <si>
    <t>Units</t>
  </si>
  <si>
    <t>AOP May '26</t>
  </si>
  <si>
    <t>Difference (Against AOP)</t>
  </si>
  <si>
    <t>YTD May '26</t>
  </si>
  <si>
    <t>AOP YTD May '26</t>
  </si>
  <si>
    <t>YTD May '25</t>
  </si>
  <si>
    <t>Growth / Diff</t>
  </si>
  <si>
    <t>TTM May '25</t>
  </si>
  <si>
    <t>TTM May '26</t>
  </si>
  <si>
    <t>May '26 Actual</t>
  </si>
  <si>
    <t>May '26 Model</t>
  </si>
  <si>
    <t>YTD May '26 Actual</t>
  </si>
  <si>
    <t>YTD May '26 Model</t>
  </si>
  <si>
    <t>Revenue Post Tax (after returns)</t>
  </si>
  <si>
    <t>Gross Margin 2</t>
  </si>
  <si>
    <t>Gross Margin 2%</t>
  </si>
  <si>
    <t>bp</t>
  </si>
  <si>
    <t>Contribution Margin 1</t>
  </si>
  <si>
    <t>CM1%</t>
  </si>
  <si>
    <t>Contribution Margin 2</t>
  </si>
  <si>
    <t>CM2%</t>
  </si>
  <si>
    <t>CM2 - Marketing</t>
  </si>
  <si>
    <t>CM3%</t>
  </si>
  <si>
    <t>EBITDA (CM2 - Marketing - Fixed Cost)</t>
  </si>
  <si>
    <t>EBITDA%</t>
  </si>
  <si>
    <t>EBDT (EBITDA - FC &amp; Non Operating Income)</t>
  </si>
  <si>
    <t>EBT%</t>
  </si>
  <si>
    <t>Inventory</t>
  </si>
  <si>
    <t>Inventory Days (value)</t>
  </si>
  <si>
    <t>Cash</t>
  </si>
  <si>
    <t>Debt</t>
  </si>
  <si>
    <t>Segmental Data</t>
  </si>
  <si>
    <t>Non-Repair</t>
  </si>
  <si>
    <t>Refurbished</t>
  </si>
  <si>
    <t>Market Place</t>
  </si>
  <si>
    <t>Screen Pro + Accessories</t>
  </si>
  <si>
    <t>Enterprise Sales</t>
  </si>
  <si>
    <t>Gross Profit</t>
  </si>
  <si>
    <t>Observations &amp; Flags — May 2026</t>
  </si>
  <si>
    <t>1) Revenue, margins &amp; deviation vs AOP</t>
  </si>
  <si>
    <t>•  Revenue Post-Tax ₹1,755M, +39% YoY (May'25 ₹1,258M) but -4% vs AOP (₹1,823M); YTD FY27 (Apr–May) ₹3,473M, +37% YoY, -4% vs AOP. Growth intact, modest top-line miss vs plan.</t>
  </si>
  <si>
    <t>•  GM2 held at 18.6% (vs 18.5% LY; ~40bps below AOP's 19.0%), and ahead of the model's 18.0% assumption — gross economics stable, not the swing factor this month.</t>
  </si>
  <si>
    <t>•  EBITDA ₹60.7M (3.5% margin), +106% vs AOP (₹29.5M) and ~2.2x the model (₹28.1M). Quality-of-beat caveat: the beat is cost-driven (marketing underspend), not margin-led — see cost notes.</t>
  </si>
  <si>
    <t>2) Consolidated cost moves</t>
  </si>
  <si>
    <t>•  Total Marketing ₹31.4M: only +4% YoY despite +39% revenue, and -31% vs AOP (₹45.8M). This underspend is the single largest contributor to the EBITDA beat — flag whether it is deliberate efficiency or under-investment that mortgages future growth.</t>
  </si>
  <si>
    <t>•  Fixed Cost ₹89.0M is the one line running hot: +19% YoY and +11% OVER AOP (₹80.3M). Watch operating-leverage slippage if fixed cost keeps outpacing plan.</t>
  </si>
  <si>
    <t>•  Variable costs all landed under AOP — Operational Cost -16%, Direct Channel Cost -13%; CoGS +39% YoY tracks revenue (-5% vs AOP). So contribution margins benefited from favourable variable spend, reinforcing that the profit beat is spend-timing, not structural.</t>
  </si>
  <si>
    <t>4) Industry &amp; company news (Google Alerts, last ~3 weeks)</t>
  </si>
  <si>
    <t>•  Recommerce tailwind: ET (5 Jun) reports India's used-car market increasingly going organised, with ~half of transactions still through ~47–52k unorganised dealers — read-through to Cashify's organised-resale / recommerce thesis in electronics.</t>
  </si>
  <si>
    <t>Data flags: MIS figures are live formulas referencing 'Consolidated' (recompute on open in Excel). 'Model' columns are static values pulled from Cashify_Model_v8.xlsx and tagged [M]. NOTE: this MIS file's Feb–May'26 columns produce spurious #DIV/0! only when recalculated in LibreOffice; Excel-cached values are clean and were used for all figures here. Control check: Dec'25 revenue reconciles to ₹1,692,076,864 to the rupee.</t>
  </si>
  <si>
    <t>Cashify - Trading Comparables (FY26, year ended 31 Mar 2026)</t>
  </si>
  <si>
    <t>All figures in the reporting unit stated (Indian names: INR crore). Period basis (FY or TTM) is stated in the tab title. Blue = editable input; black = formula (recalculates).</t>
  </si>
  <si>
    <t>Company</t>
  </si>
  <si>
    <t>Status</t>
  </si>
  <si>
    <t>Market Cap</t>
  </si>
  <si>
    <t>Revenue</t>
  </si>
  <si>
    <t>Rev Growth</t>
  </si>
  <si>
    <t>Gross Margin</t>
  </si>
  <si>
    <t>EBITDA</t>
  </si>
  <si>
    <t>EBITDA Margin</t>
  </si>
  <si>
    <t>EBITDA Growth</t>
  </si>
  <si>
    <t>M Cap / Revenue</t>
  </si>
  <si>
    <t>M Cap / EBITDA</t>
  </si>
  <si>
    <t>Cashify</t>
  </si>
  <si>
    <t>Private</t>
  </si>
  <si>
    <t>Electronics Mart India</t>
  </si>
  <si>
    <t>Public</t>
  </si>
  <si>
    <t>Aditya Vision</t>
  </si>
  <si>
    <t>GNG Electronics</t>
  </si>
  <si>
    <t>Peer Mean</t>
  </si>
  <si>
    <t>Peer Median</t>
  </si>
  <si>
    <t>Peer High</t>
  </si>
  <si>
    <t>Peer Low</t>
  </si>
  <si>
    <t>Total Debt</t>
  </si>
  <si>
    <t>ROCE</t>
  </si>
  <si>
    <t>All values are reported in INR millions.</t>
  </si>
  <si>
    <t>ADITYA VISION LIMITED</t>
  </si>
  <si>
    <t>Metric</t>
  </si>
  <si>
    <t>2023-12-31</t>
  </si>
  <si>
    <t>2024-03-31</t>
  </si>
  <si>
    <t>2024-06-30</t>
  </si>
  <si>
    <t>2024-09-30</t>
  </si>
  <si>
    <t>2024-12-31</t>
  </si>
  <si>
    <t>2025-03-31</t>
  </si>
  <si>
    <t>2025-06-30</t>
  </si>
  <si>
    <t>2025-09-30</t>
  </si>
  <si>
    <t>2025-12-31</t>
  </si>
  <si>
    <t>FY 2024</t>
  </si>
  <si>
    <t>FY 2025</t>
  </si>
  <si>
    <t>FY 2026</t>
  </si>
  <si>
    <t>TTM</t>
  </si>
  <si>
    <t>Other Income</t>
  </si>
  <si>
    <t>WOSG</t>
  </si>
  <si>
    <t>AVL</t>
  </si>
  <si>
    <t>EMIL</t>
  </si>
  <si>
    <t>ATRenew</t>
  </si>
  <si>
    <t>NewJaisa</t>
  </si>
  <si>
    <t>Total Income</t>
  </si>
  <si>
    <t>Period</t>
  </si>
  <si>
    <t>TTM March '25</t>
  </si>
  <si>
    <t>TTM April '25</t>
  </si>
  <si>
    <t>Materials Cost</t>
  </si>
  <si>
    <t>Revenue ($ Mn)</t>
  </si>
  <si>
    <t>Purchases Of Stock</t>
  </si>
  <si>
    <t>Inventory Changes</t>
  </si>
  <si>
    <t>COGS</t>
  </si>
  <si>
    <t>Employee Benefit Expense</t>
  </si>
  <si>
    <t>Gross profit</t>
  </si>
  <si>
    <t>Finance Costs</t>
  </si>
  <si>
    <t>Operating Costs</t>
  </si>
  <si>
    <t>Depreciation</t>
  </si>
  <si>
    <t>Other Expenses</t>
  </si>
  <si>
    <t>Total Expenses</t>
  </si>
  <si>
    <t>PBT</t>
  </si>
  <si>
    <t>Values in INR Mn</t>
  </si>
  <si>
    <t>P&amp;L</t>
  </si>
  <si>
    <t>Common Size</t>
  </si>
  <si>
    <t>Tax</t>
  </si>
  <si>
    <t>Electronics Mart</t>
  </si>
  <si>
    <t>PAT</t>
  </si>
  <si>
    <t>FY26</t>
  </si>
  <si>
    <t>TTM Dec '25</t>
  </si>
  <si>
    <t>Property Plant And Equipment</t>
  </si>
  <si>
    <t>P&amp;L Metrics</t>
  </si>
  <si>
    <t>Capital Work In Progress</t>
  </si>
  <si>
    <t>Trade Receivables Noncurrent</t>
  </si>
  <si>
    <t>Inventories</t>
  </si>
  <si>
    <t>Trade Receivables Current</t>
  </si>
  <si>
    <t>Cash And Cash Equivalents</t>
  </si>
  <si>
    <t>Bank Balance Other</t>
  </si>
  <si>
    <t>Equity</t>
  </si>
  <si>
    <t>Trade Payables Current</t>
  </si>
  <si>
    <t>Noncurrent Liabilities</t>
  </si>
  <si>
    <t>Valuation Multiples</t>
  </si>
  <si>
    <t>Median</t>
  </si>
  <si>
    <t>Borrowings Current</t>
  </si>
  <si>
    <t>Borrowings Noncurrent</t>
  </si>
  <si>
    <t>P/R (x)</t>
  </si>
  <si>
    <t>P/GP (x)</t>
  </si>
  <si>
    <t>Gross Profit Margin</t>
  </si>
  <si>
    <t>P/EBITDA (x)</t>
  </si>
  <si>
    <t>Debt To Equity</t>
  </si>
  <si>
    <t>Revenue Growth (y-o-y %)</t>
  </si>
  <si>
    <t>Gross Profit Growth (y-o-y %)</t>
  </si>
  <si>
    <t>EBITDA Growth (y-o-y %)</t>
  </si>
  <si>
    <t>Ps Ratio</t>
  </si>
  <si>
    <t>Pgp Ratio</t>
  </si>
  <si>
    <t>Pebtda Ratio</t>
  </si>
  <si>
    <t>Pe Ratio</t>
  </si>
  <si>
    <t>Common Size Metric (%)</t>
  </si>
  <si>
    <t>Electronics Mart India Limited</t>
  </si>
  <si>
    <t>GNG Electronics Limited</t>
  </si>
  <si>
    <t>NEWJAISA TECHNOLOGIES LIMITED</t>
  </si>
  <si>
    <t>Cashify Earnings Analysis</t>
  </si>
  <si>
    <t>Document</t>
  </si>
  <si>
    <t>Date</t>
  </si>
  <si>
    <t>Guidance</t>
  </si>
  <si>
    <t>Growth Drivers</t>
  </si>
  <si>
    <t>Headwinds</t>
  </si>
  <si>
    <t>Geographies</t>
  </si>
  <si>
    <t>Segments</t>
  </si>
  <si>
    <t>Positive Highlights</t>
  </si>
  <si>
    <t>Negative Comments</t>
  </si>
  <si>
    <t>KPIs</t>
  </si>
  <si>
    <t>Prompts</t>
  </si>
  <si>
    <t>Whose call transcript is this? list only company name.</t>
  </si>
  <si>
    <t>When was the Earnings Call? Answer in MM/DD/YYYY format.</t>
  </si>
  <si>
    <t>What guidance or outlook did the company issue? Capitalize any action such as INCREASED, LOWERED, UPDATED, SUSPENDED, NARROWED, MAINTAINED.</t>
  </si>
  <si>
    <t>What are the major growth drivers?</t>
  </si>
  <si>
    <t>What headwinds is the company facing?</t>
  </si>
  <si>
    <t>Were any regions had the most impact?</t>
  </si>
  <si>
    <t>Which divisions or offerings or segments or products had the most impact?</t>
  </si>
  <si>
    <t>What were the most positive comments?</t>
  </si>
  <si>
    <t>What were the most negative comments?</t>
  </si>
  <si>
    <t xml:space="preserve">Extract the key performance indicators (KPIs) that are critical for measuring the organization's strategic and operational performance across different business areas.
Also give the LPD
</t>
  </si>
  <si>
    <t>Summary</t>
  </si>
  <si>
    <t>May 2019 - May 2026</t>
  </si>
  <si>
    <r>
      <rPr>
        <rFont val="Aptos Narrow"/>
        <b/>
        <color theme="1"/>
        <sz val="11.0"/>
      </rPr>
      <t>EQEMIL.IN</t>
    </r>
    <r>
      <rPr>
        <rFont val="Aptos Narrow"/>
        <color theme="1"/>
        <sz val="12.0"/>
      </rPr>
      <t xml:space="preserve"> </t>
    </r>
    <r>
      <rPr>
        <rFont val="Aptos Narrow"/>
        <color rgb="FF666666"/>
        <sz val="11.0"/>
      </rPr>
      <t>Electronics Mart India Ltd</t>
    </r>
    <r>
      <rPr>
        <rFont val="Aptos Narrow"/>
        <color theme="1"/>
        <sz val="12.0"/>
      </rPr>
      <t xml:space="preserve">
</t>
    </r>
    <r>
      <rPr>
        <rFont val="Aptos Narrow"/>
        <b/>
        <color theme="1"/>
        <sz val="11.0"/>
      </rPr>
      <t>Electronics Mart India Limited, Q4 2026 Earnings Call, May 22, 2026</t>
    </r>
    <r>
      <rPr>
        <rFont val="Aptos Narrow"/>
        <color theme="1"/>
        <sz val="12.0"/>
      </rPr>
      <t xml:space="preserve">
</t>
    </r>
    <r>
      <rPr>
        <rFont val="Aptos Narrow"/>
        <color rgb="FF666666"/>
        <sz val="11.0"/>
      </rPr>
      <t>22 May 26 • Event Transcript</t>
    </r>
  </si>
  <si>
    <t>05/22/2026</t>
  </si>
  <si>
    <t>MAINTAINED focus on supply chain optimization, cash flow generation, and working capital efficiency. MAINTAINED selective approach to new geographies. MAINTAINED investment in customer experience as foundation of strategy.</t>
  </si>
  <si>
    <t>Major growth drivers: (1) GST reduction benefiting large appliances, (2) mobile phone growth of 28% from new launches, (3) emerging categories like induction cooktops and dishwashers, (4) double-digit growth in South and North regions, (5) festive season tailwinds, (6) summer season outperformance.</t>
  </si>
  <si>
    <t>Headwinds include: (1) temperature volatility and sporadic rainfall impacting March business, (2) intense competitive pressure in markets like Delhi and Andhra Pradesh, (3) major mobile phone launches from competitors (Samsung, OPPO, Vivo) requiring competitive response.</t>
  </si>
  <si>
    <t>South region had most impact with double-digit growth in revenue and same-store sales. Hyderabad delivered strong double-digit SSSG after extended period. Andhra Pradesh and Telangana clusters outperformed expectations with market share gains despite intense competition. North region (Delhi NCR) also achieved double-digit growth.</t>
  </si>
  <si>
    <t>Large appliances and mobile phones had the most impact. Large appliances benefited from GST reduction and festival tailwinds with washing machines showing strong double-digit growth and panels at 13%. Mobile phones recorded 28% growth in Q4 FY'26, supported by major new launches in January and March.</t>
  </si>
  <si>
    <t>Positive highlights include: (1) Q4 EBITDA margin of 6.7% with PAT growth of 49%; (2) South and North regions achieving double-digit revenue and same-store sales growth; (3) NCR operations becoming EBITDA positive on full-year basis; (4) record cash flow from operations of INR 299 crores for FY'26.</t>
  </si>
  <si>
    <t>Challenges include: (1) March faced temperature volatility and sporadic rainfall; (2) store opening rate declined significantly from 40 in FY'25 to 23 in FY'26; (3) newer stores operating at only 3.1% EBITDA margin during ramp-up phase; (4) Delhi summer started late with delayed warming.</t>
  </si>
  <si>
    <t>Critical KPIs: (1) Q4 Revenue: INR 1,913 crores (+15% YoY); (2) Q4 EBITDA: INR 129 crores (+20% YoY) at 6.7% margin; (3) SSSG: 12.2% in Q4; (4) Store count: 223 stores (83 mature, 140 newer); (5) Mature store EBITDA margin: 7.3%; newer stores: 3.1%; (6) Inventory days outstanding: 73 days; (7) FY'26 Revenue: INR 7,183 crores (+7% YoY); (8) FY'26 EBITDA: INR 438 crores at 6.1% margin; (9) FY'26 SSSG: 5.3%; (10) Cash flow from operations: INR 299 crores.</t>
  </si>
  <si>
    <r>
      <rPr>
        <rFont val="Aptos Narrow"/>
        <b/>
        <color theme="1"/>
        <sz val="11.0"/>
      </rPr>
      <t>EQEMIL.IN</t>
    </r>
    <r>
      <rPr>
        <rFont val="Aptos Narrow"/>
        <color theme="1"/>
        <sz val="12.0"/>
      </rPr>
      <t xml:space="preserve"> </t>
    </r>
    <r>
      <rPr>
        <rFont val="Aptos Narrow"/>
        <color rgb="FF666666"/>
        <sz val="11.0"/>
      </rPr>
      <t>Electronics Mart India Ltd</t>
    </r>
    <r>
      <rPr>
        <rFont val="Aptos Narrow"/>
        <color theme="1"/>
        <sz val="12.0"/>
      </rPr>
      <t xml:space="preserve">
</t>
    </r>
    <r>
      <rPr>
        <rFont val="Aptos Narrow"/>
        <b/>
        <color theme="1"/>
        <sz val="11.0"/>
      </rPr>
      <t>Electronics Mart India Limited, Q3 2026 Earnings Call, Feb 09, 2026</t>
    </r>
    <r>
      <rPr>
        <rFont val="Aptos Narrow"/>
        <color theme="1"/>
        <sz val="12.0"/>
      </rPr>
      <t xml:space="preserve">
</t>
    </r>
    <r>
      <rPr>
        <rFont val="Aptos Narrow"/>
        <color rgb="FF666666"/>
        <sz val="11.0"/>
      </rPr>
      <t>09 Feb 26 • Event Transcript</t>
    </r>
  </si>
  <si>
    <t>02/09/2026</t>
  </si>
  <si>
    <t>MAINTAINED guidance on gradual margin improvement as new stores mature and reach steady-state performance, with expectations for progressive normalization of margins and improved ROIC.</t>
  </si>
  <si>
    <t>Major growth drivers: (1) GST rate reduction boosting consumption, (2) festival-led demand, (3) shift toward premium products (large TVs, front-loading washers, dishwashers), (4) AI-enabled device launches, (5) improved disposable income from tax cuts, (6) low category penetration offering significant growth potential.</t>
  </si>
  <si>
    <t>Headwinds include: (1) elevated fixed costs (manpower, marketing, depreciation) not fully absorbed by new stores, (2) absence of prolonged festive season, (3) weaker market sentiment in Telangana, (4) seasonal dependency with weak summer in FY'25 impacting cooling product sales, (5) credit scrutiny from NBFCs affecting approval rates post-festival periods.</t>
  </si>
  <si>
    <t>NCR had the most positive impact with 30% revenue growth and 7.1% SSG. Andhra Pradesh showed strong recovery with 18.2% revenue growth and 4.9% SSG. Hyderabad grew 6.4% with 3.3% SSG. Telangana underperformed with only 2% revenue growth and negative SSG.</t>
  </si>
  <si>
    <t>Large appliances (42% of Q3 revenue) and mobile (44% of Q3 revenue) had the most impact. Post-GST reduction, premium products like large televisions, front-loading washing machines, and dishwashers showed strong traction. Washing machines grew 11% in Q3 after stagnation, while mobile grew 10%.</t>
  </si>
  <si>
    <t>Festival-to-festival comparison showed robust 25% growth. Andhra Pradesh recovered with 14% growth. Q3 EBITDA grew 17% to INR 119 crores with margins improving to 6.1% from 5.6%. NCR cluster scaled strongly with 30% revenue growth and 7.1% SSG. Mature stores demonstrated 7% EBITDA margins.</t>
  </si>
  <si>
    <t>Telangana showed weak 2% revenue growth with negative SSG. Nine-month SSSG was only 0.19%. New stores contributed INR 1,528 crores with just 3% EBITDA margins versus 7% for mature stores. Elevated fixed costs, finance costs, and depreciation from 100 new stores added over two years negatively impacted profitability.</t>
  </si>
  <si>
    <t>Critical KPIs: Q3 revenue INR 1,939.7 crores (+8% YoY), EBITDA INR 119 crores (+17% YoY), EBITDA margin 6.1% (+50bps), SSG 2.54%, ROCE 11%, ROE 5.8%, working capital 60 days, operating cash flow INR 500 crores. LPD (Last Period Data): Q3 FY'25 revenue INR 1,805 crores, EBITDA INR 102 crores, margin 5.6%.</t>
  </si>
  <si>
    <r>
      <rPr>
        <rFont val="Aptos Narrow"/>
        <b/>
        <color theme="1"/>
        <sz val="11.0"/>
      </rPr>
      <t>EQEMIL.IN</t>
    </r>
    <r>
      <rPr>
        <rFont val="Aptos Narrow"/>
        <color theme="1"/>
        <sz val="12.0"/>
      </rPr>
      <t xml:space="preserve"> </t>
    </r>
    <r>
      <rPr>
        <rFont val="Aptos Narrow"/>
        <color rgb="FF666666"/>
        <sz val="11.0"/>
      </rPr>
      <t>Electronics Mart India Ltd</t>
    </r>
    <r>
      <rPr>
        <rFont val="Aptos Narrow"/>
        <color theme="1"/>
        <sz val="12.0"/>
      </rPr>
      <t xml:space="preserve">
</t>
    </r>
    <r>
      <rPr>
        <rFont val="Aptos Narrow"/>
        <b/>
        <color theme="1"/>
        <sz val="11.0"/>
      </rPr>
      <t>Electronics Mart India Limited, Q2 2026 Earnings Call, Nov 10, 2025</t>
    </r>
    <r>
      <rPr>
        <rFont val="Aptos Narrow"/>
        <color theme="1"/>
        <sz val="12.0"/>
      </rPr>
      <t xml:space="preserve">
</t>
    </r>
    <r>
      <rPr>
        <rFont val="Aptos Narrow"/>
        <color rgb="FF666666"/>
        <sz val="11.0"/>
      </rPr>
      <t>10 Nov 25 • Event Transcript</t>
    </r>
  </si>
  <si>
    <t>11/10/2025</t>
  </si>
  <si>
    <t>UPDATED FY26 revenue guidance from 15% to low double-digit growth; margins expected to improve in Q3 versus prior quarters.</t>
  </si>
  <si>
    <t>Growth drivers include (1) reduced interest rates and GST rates boosting disposable income, (2) AI-enabled mobile devices driving upgrades and ASP growth, (3) unpenetrated categories offering expansion potential, (4) new store maturation contributing margins.</t>
  </si>
  <si>
    <t>Headwinds include (1) GST announcement causing purchase deferment, (2) 75 new stores in early stabilization stages pressuring margins, (3) weak summer season impacting AC sales, (4) INR 200+ crores excess AC inventory requiring liquidation.</t>
  </si>
  <si>
    <t>NCR had strongest impact with 38% revenue growth and 11% SSG. Southern regions also performed well: Andhra Pradesh (29% growth, 8% SSG), Telangana (23% growth, 16% SSG), and Hyderabad (15% growth, 12% SSG).</t>
  </si>
  <si>
    <t>Mobiles (48% Q2, 44% H1) and large appliances (38% Q2, 43% H1) had the most impact. Large appliances showed strong growth with customers shifting to premium products like large televisions, higher-priced air conditioners, and dishwashers, driving improved ASP.</t>
  </si>
  <si>
    <t>(1) GST rate cuts drove strong demand recovery and festive season outperformance versus prior year. (2) Broad-based recovery across all clusters with positive momentum. (3) Mature stores delivering 6.8% EBITDA margins. (4) Management confident margins will improve as new stores mature and stabilize.</t>
  </si>
  <si>
    <t>(1) GST announcement caused initial purchase deferment and margin pressure from discounting. (2) Rapid store expansion (75 stores H1) created fixed cost absorption challenges. (3) INR 200+ crores excess AC inventory from poor summer season. (4) New stores at 3% EBITDA margin versus mature stores at 6.8%, pressuring overall profitability.</t>
  </si>
  <si>
    <t>Critical KPIs: (1) Q2 Revenue: INR 1,591 crores; H1 Revenue: INR 3,330 crores. (2) Q2 EBITDA: INR 82 crores (5.1% margin); H1 EBITDA: INR 192 crores (5.8% margin). (3) Q2 PAT: INR 16 crores; H1 PAT: INR 38 crores. (4) SSG: 11.4% (Q2). (5) RoCE/RoE: 9.8%/4.8% (H1). (6) Working Capital Days: 76. (7) Operating Cash Flow: INR 209 crores.</t>
  </si>
  <si>
    <r>
      <rPr>
        <rFont val="Aptos Narrow"/>
        <b/>
        <color theme="1"/>
        <sz val="11.0"/>
      </rPr>
      <t>EQEMIL.IN</t>
    </r>
    <r>
      <rPr>
        <rFont val="Aptos Narrow"/>
        <color theme="1"/>
        <sz val="12.0"/>
      </rPr>
      <t xml:space="preserve"> </t>
    </r>
    <r>
      <rPr>
        <rFont val="Aptos Narrow"/>
        <color rgb="FF666666"/>
        <sz val="11.0"/>
      </rPr>
      <t>Electronics Mart India Ltd</t>
    </r>
    <r>
      <rPr>
        <rFont val="Aptos Narrow"/>
        <color theme="1"/>
        <sz val="12.0"/>
      </rPr>
      <t xml:space="preserve">
</t>
    </r>
    <r>
      <rPr>
        <rFont val="Aptos Narrow"/>
        <b/>
        <color theme="1"/>
        <sz val="11.0"/>
      </rPr>
      <t>Electronics Mart India Limited, Q1 2026 Earnings Call, Aug 05, 2025</t>
    </r>
    <r>
      <rPr>
        <rFont val="Aptos Narrow"/>
        <color theme="1"/>
        <sz val="12.0"/>
      </rPr>
      <t xml:space="preserve">
</t>
    </r>
    <r>
      <rPr>
        <rFont val="Aptos Narrow"/>
        <color rgb="FF666666"/>
        <sz val="11.0"/>
      </rPr>
      <t>05 Aug 25 • Event Transcript</t>
    </r>
  </si>
  <si>
    <t>08/05/2025</t>
  </si>
  <si>
    <t>MAINTAINED 15%-plus revenue growth guidance for FY '26 and UPDATED store expansion to 25-30 new stores in FY '26, with expectations for higher double-digit growth in Q2 and EBITDA margins sustaining at 6%.</t>
  </si>
  <si>
    <t>Growth drivers include (1) AI-enabled mobile devices and technology upgrades, (2) increased consumer disposable income from tax relief (INR 1 lakh crore), (3) premiumization trend and premium segment focus, (4) strong OEM partnerships, (5) festive season demand, (6) new store maturation improving unit economics.</t>
  </si>
  <si>
    <t>Primary headwinds: (1) unseasonal rainfall in April-May reducing AC/cooler demand by 50% in Telangana and 148% in Andhra Pradesh, (2) excess AC inventory of INR 250 crores, (3) margin pressure from 44 new store additions with fixed cost absorption lag, (4) slowdown in real estate market impacting demand.</t>
  </si>
  <si>
    <t>Andhra Pradesh and Telangana were most impacted, with 7 of 8 new stores opened there experiencing severe rainfall (148% above average in AP, 50% in Telangana), reducing AC sales and South cluster EBITDA margins to 6.7%. Conversely, North cluster (NCR) showed strength with 21% MBO growth and 100 bps EBITDA margin improvement to 3.6%.</t>
  </si>
  <si>
    <t>Air conditioners and coolers had the most negative impact due to unseasonal rainfall reducing demand by 50% in key months. Large appliances (48% of sales) and mobile phones (40% of sales) were the primary revenue drivers, though AC weakness offset growth in other categories.</t>
  </si>
  <si>
    <t>July showed exceptional recovery with double-digit growth across categories. Mobile phones surged 50% YoY with Z Fold7 launch. North cluster MBO sales grew 21% YoY to INR 159 crores with EBITDA margins improving 100 bps to 3.6%. Management expects higher double-digit Q2 growth driven by festive season and iPhone 17 launch.</t>
  </si>
  <si>
    <t>Unseasonal rainfall devastated Q1 with 50% higher rainfall in Telangana and 148% in Andhra Pradesh, causing like-to-like sales decline of 18%. AC demand collapsed as a result. A warehouse fire in Guntur destroyed INR 8 crores inventory. South cluster EBITDA margins fell to 6.7% due to new store underperformance and weak seasonal product contribution.</t>
  </si>
  <si>
    <t>Critical KPIs: (1) Revenue INR 1,739 crores, (2) EBITDA INR 110 crores (6.3% margin), (3) PAT INR 22 crores, (4) Like-to-like sales -18%, (5) ROCE 13.4%, ROE 7.7%, (6) Working capital 60 days, (7) Store count 208 (197 MBO, 11 EBO), (8) Large appliances 48% of sales, mobile phones 40%. LPD (Last Period Data): Q1 FY'25 had stronger EBITDA margins driven by heat waves; North cluster EBITDA margin was 2.6% vs 3.6% current quarter.</t>
  </si>
  <si>
    <r>
      <rPr>
        <rFont val="Aptos Narrow"/>
        <b/>
        <color theme="1"/>
        <sz val="11.0"/>
      </rPr>
      <t>EQEMIL.IN</t>
    </r>
    <r>
      <rPr>
        <rFont val="Aptos Narrow"/>
        <color theme="1"/>
        <sz val="12.0"/>
      </rPr>
      <t xml:space="preserve"> </t>
    </r>
    <r>
      <rPr>
        <rFont val="Aptos Narrow"/>
        <color rgb="FF666666"/>
        <sz val="11.0"/>
      </rPr>
      <t>Electronics Mart India Ltd</t>
    </r>
    <r>
      <rPr>
        <rFont val="Aptos Narrow"/>
        <color theme="1"/>
        <sz val="12.0"/>
      </rPr>
      <t xml:space="preserve">
</t>
    </r>
    <r>
      <rPr>
        <rFont val="Aptos Narrow"/>
        <b/>
        <color theme="1"/>
        <sz val="11.0"/>
      </rPr>
      <t>Electronics Mart India Limited, Q4 2025 Earnings Call, May 20, 2025</t>
    </r>
    <r>
      <rPr>
        <rFont val="Aptos Narrow"/>
        <color theme="1"/>
        <sz val="12.0"/>
      </rPr>
      <t xml:space="preserve">
</t>
    </r>
    <r>
      <rPr>
        <rFont val="Aptos Narrow"/>
        <color rgb="FF666666"/>
        <sz val="11.0"/>
      </rPr>
      <t>20 May 25 • Event Transcript</t>
    </r>
  </si>
  <si>
    <t>05/20/2025</t>
  </si>
  <si>
    <t>Company MAINTAINED store expansion guidance at 25-30 stores for FY '26 and expects gradual margin recovery as newly added stores stabilize and contribute to revenue.</t>
  </si>
  <si>
    <t>Major growth drivers: (1) large appliances at 45.4% of revenue with 12% YoY growth, led by air conditioners; (2) mobile phones at 42% with 11% growth; (3) 44 new store additions; (4) premiumization and increased government capital spending supporting 6.2%-6.8% GDP growth.</t>
  </si>
  <si>
    <t>Headwinds include: (1) early monsoon rains reducing cooling product sales; (2) ASP declines of 10% YoY in certain categories; (3) 44 new stores in early ramp-up stages adding fixed costs without meaningful revenue contribution, impacting EBITDA margins.</t>
  </si>
  <si>
    <t>South India, particularly Hyderabad and Telangana/Andhra Pradesh, faced the most impact. Hyderabad showed flattish/negative growth in early FY '25 quarters; early monsoon rains muted cooling product sales in Southern markets, requiring inventory liquidation over extended periods.</t>
  </si>
  <si>
    <t>Large appliances (45.4% of revenue, +12% YoY) had the most impact, driven by air conditioners (+34-35%). Mobile phones contributed 42% (+11% YoY). Store expansion of 44 new locations also significantly impacted operations through increased fixed costs.</t>
  </si>
  <si>
    <t>Revenue grew 11% to INR 6,965 crores despite challenges. Company reached 200-store milestone across 82 cities. Management praised Delhi NCR turnaround as 'remarkable.' India's GDP projected 6.2-6.8% growth with INR 1 lakh crore tax relief boosting consumer spending, supporting durable demand.</t>
  </si>
  <si>
    <t>Early monsoons muted cooling product sales. EBITDA flat YoY at INR 451 crores (6.6% margin). PAT declined to INR 161 crores from INR 184 crores. Like-to-like growth weak at 1.5% in Q4. Hyderabad showed flattish/negative performance. 44 new stores remain immature, pressuring profitability.</t>
  </si>
  <si>
    <t>Critical KPIs: (1) Revenue INR 6,965 crores (+11% YoY); (2) EBITDA INR 451 crores (flat, 6.5% margin); (3) PAT INR 161 crores (-12.5% YoY); (4) Like-to-like growth 6.1%; (5) ROCE 13.2%, ROE 10.5%; (6) Working capital days 80; (7) Net debt/EBITDA 2.1x; (8) Store additions 44. LPD (Last Period Data): FY '24 revenue INR 6,285 crores, PAT INR 184 crores.</t>
  </si>
  <si>
    <r>
      <rPr>
        <rFont val="Aptos Narrow"/>
        <b/>
        <color theme="1"/>
        <sz val="11.0"/>
      </rPr>
      <t>EQEMIL.IN</t>
    </r>
    <r>
      <rPr>
        <rFont val="Aptos Narrow"/>
        <color theme="1"/>
        <sz val="12.0"/>
      </rPr>
      <t xml:space="preserve"> </t>
    </r>
    <r>
      <rPr>
        <rFont val="Aptos Narrow"/>
        <color rgb="FF666666"/>
        <sz val="11.0"/>
      </rPr>
      <t>Electronics Mart India Ltd</t>
    </r>
    <r>
      <rPr>
        <rFont val="Aptos Narrow"/>
        <color theme="1"/>
        <sz val="12.0"/>
      </rPr>
      <t xml:space="preserve">
</t>
    </r>
    <r>
      <rPr>
        <rFont val="Aptos Narrow"/>
        <b/>
        <color theme="1"/>
        <sz val="11.0"/>
      </rPr>
      <t>Electronics Mart India Limited, Q3 2025 Earnings Call, Feb 10, 2025</t>
    </r>
    <r>
      <rPr>
        <rFont val="Aptos Narrow"/>
        <color theme="1"/>
        <sz val="12.0"/>
      </rPr>
      <t xml:space="preserve">
</t>
    </r>
    <r>
      <rPr>
        <rFont val="Aptos Narrow"/>
        <color rgb="FF666666"/>
        <sz val="11.0"/>
      </rPr>
      <t>10 Feb 25 • Event Transcript</t>
    </r>
  </si>
  <si>
    <t>02/10/2025</t>
  </si>
  <si>
    <t>MAINTAINED 15% full-year revenue guidance; 9-month growth at 10.5-10.6% with Q4 expected to deliver ~21-22% growth in summer categories to achieve annual target.</t>
  </si>
  <si>
    <t>(1) India's GDP growth projected at 10.3-10.5% with increased capital spending; (2) Union budget 2025 distributing INR 1 lakh crores to middle class, boosting disposable income; (3) Strong demand in air conditioners (+40% growth), kitchen appliances, and built-in audio; (4) Summer season arriving early supporting AC and cooler sales.</t>
  </si>
  <si>
    <t>(1) Persistent inflation and subdued discretionary demand; (2) Slowdown in real estate market; (3) Hyderabad region negative SSS growth of -2.8%; (4) Single-digit volume growth in large appliances (TV 5-6%, washing machines 2-3%); (5) Q3 EBITDA declined 14% YoY to INR 99 crores.</t>
  </si>
  <si>
    <t>Hyderabad region had the most negative impact with -2.8% SSS growth and flat/negative 1-2% growth, despite being 60-65% of total revenue. Mature stores in Hyderabad struggled with single-digit volume growth in large appliances. Conversely, newer clusters in Telangana, Andhra Pradesh, and Delhi NCR outperformed with stronger growth trajectories.</t>
  </si>
  <si>
    <t>Large appliances dominated with 45% of 9-month revenue, followed by mobile at 42% and small appliances at 13%. Air conditioners showed exceptional 40% growth due to low penetration and aggressive brand competition. Kitchen appliances and built-in audio also performed well, while refrigerators and washing machines saw only 2-3% volume growth.</t>
  </si>
  <si>
    <t>India's projected 10.3-10.5% growth and INR 1 lakh crore middle-class tax relief will boost consumer spending in durables. Delhi NCR surged 50% QoQ and 60%+ for 9 months. Management is optimistic on summer demand recovery and newer cluster performance in Telangana, Andhra Pradesh, and NCR, with mature stores maintaining market share.</t>
  </si>
  <si>
    <t>Q3 same-store sales declined 2.8% due to Hyderabad slowdown. EBITDA fell 14% YoY to INR 99 crores; PAT dropped to INR 32 crores from INR 46 crores. Large appliances saw single-digit volume growth (TV 5-6%, washing machines 2-3%). Pricing support was absent, and real estate slowdown impacted water heater and room heater categories.</t>
  </si>
  <si>
    <t>Critical KPIs: (1) Revenue: INR 5,246 crores (+10% YoY); (2) EBITDA: INR 337 crores (6.4% margin, 4.7% pre Ind-AS); (3) SSSG: 3.8%; (4) ROCE/ROE: 16.4%/11.2% annualized; (5) Store count: 191 (178 MBO, 13 EBO) across 78 cities; (6) Inventory days: 46; (7) Working capital days: 52; (8) Net debt-to-EBITDA: 0.3x; (9) Gross debt-to-equity: 0.4x.</t>
  </si>
  <si>
    <r>
      <rPr>
        <rFont val="Aptos Narrow"/>
        <b/>
        <color theme="1"/>
        <sz val="11.0"/>
      </rPr>
      <t>STNEWJAISA.IN</t>
    </r>
    <r>
      <rPr>
        <rFont val="Aptos Narrow"/>
        <color theme="1"/>
        <sz val="12.0"/>
      </rPr>
      <t xml:space="preserve"> </t>
    </r>
    <r>
      <rPr>
        <rFont val="Aptos Narrow"/>
        <color rgb="FF666666"/>
        <sz val="11.0"/>
      </rPr>
      <t>Newjaisa Technologies Ltd</t>
    </r>
    <r>
      <rPr>
        <rFont val="Aptos Narrow"/>
        <color theme="1"/>
        <sz val="12.0"/>
      </rPr>
      <t xml:space="preserve">
</t>
    </r>
    <r>
      <rPr>
        <rFont val="Aptos Narrow"/>
        <b/>
        <color theme="1"/>
        <sz val="11.0"/>
      </rPr>
      <t>Newjaisa Technologies Limited, H2 2026 Earnings Call, May 28, 2026</t>
    </r>
    <r>
      <rPr>
        <rFont val="Aptos Narrow"/>
        <color theme="1"/>
        <sz val="12.0"/>
      </rPr>
      <t xml:space="preserve">
</t>
    </r>
    <r>
      <rPr>
        <rFont val="Aptos Narrow"/>
        <color rgb="FF666666"/>
        <sz val="11.0"/>
      </rPr>
      <t>28 May 26 • Event Transcript</t>
    </r>
  </si>
  <si>
    <t>Newjaisa Technologies Limited</t>
  </si>
  <si>
    <t>05/28/2026</t>
  </si>
  <si>
    <t>Company MAINTAINED guidance on returning to profitability, with EBITDA turning breakeven in FY '26 and positive territory achieved in last 2-3 months, expecting to reach prior peak levels.</t>
  </si>
  <si>
    <t>Major growth drivers: (1) hardware cost inflation (30-40%) driving refurbished product demand, (2) strong enterprise conversion ratios with 15 Fortune 100 companies transacting, (3) 225% growth in own channels, (4) website capturing 50-60% of former Amazon retail sales, (5) 80% enterprise customer retention.</t>
  </si>
  <si>
    <t>Major headwinds: (1) Amazon exit eliminated 65% of sales channel, (2) Microsoft ending Windows 10 support obsoleted older inventory, (3) revenue declined 38% from INR 65 crores to INR 40 crores, (4) INR 13.85 crores inventory write-off, (5) negative EBITDA of 6% despite maintaining gross margins.</t>
  </si>
  <si>
    <t>No Answer Found - The document does not discuss regional impact or geographic performance metrics.</t>
  </si>
  <si>
    <t>Amazon's exit from refurbished goods sales had the most impact, causing 65% revenue loss and forcing a pivot to own channels and enterprise sales. This drove topline decline from INR 65 crores to INR 40 crores and triggered INR 13.85 crores in write-offs, primarily INR 12.38 crores in inventory.</t>
  </si>
  <si>
    <t>Positive highlights include 200% YoY growth in own channels, 80% enterprise customer retention, positive EBITDA for last 2-3 months, 15 Fortune 100 companies transacting, and production recovery to 3,000-3,500 units from 1,500 units post-Amazon exit.</t>
  </si>
  <si>
    <t>Amazon's February 2025 exit eliminated 65% of sales, causing topline collapse from INR 65 crores to INR 40 crores. Company recorded INR 13.85 crores write-off, negative 6% EBITDA, and INR 3.35 crores cash burn, forcing 46% headcount rationalization and inventory liquidation at lower prices.</t>
  </si>
  <si>
    <t>Key KPIs: (1) Revenue: INR 40 crores (FY '26) vs INR 65 crores (FY '25); (2) EBITDA: negative 6% (FY '26); (3) Cash burn: INR 3.35 crores; (4) Own channel growth: 225%; (5) Website sales recovery: 50-60% of former Amazon revenue; (6) Enterprise customer retention: 80%; (7) Production capacity: 15,000 units/month; (8) Current production: 3,000-3,500 units/month; (9) Cash position: INR 15 crores; (10) Fixed cost ratio: 15% (target 7-8%); (11) Inventory write-off: INR 13.85 crores; (12) Fortune 100 enterprise clients: 15. LPD (Last Period Data): H2 FY '26 ending May 28, 2026.</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</si>
  <si>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Q1 2026 Earnings Call, May 19, 2026</t>
    </r>
    <r>
      <rPr>
        <rFont val="Aptos Narrow"/>
        <color theme="1"/>
        <sz val="12.0"/>
      </rPr>
      <t xml:space="preserve">
</t>
    </r>
    <r>
      <rPr>
        <rFont val="Aptos Narrow"/>
        <color rgb="FF666666"/>
        <sz val="11.0"/>
      </rPr>
      <t>19 May 26 • Event Transcript</t>
    </r>
  </si>
  <si>
    <t>ATRenew Inc.</t>
  </si>
  <si>
    <t>05/19/2026</t>
  </si>
  <si>
    <t>UPDATED Q2 2026 guidance to RMB 6.24-6.34B revenue (25-27% YoY growth). INCREASED full-year 2026 growth expectations and EXPECT meaningful margin improvement.</t>
  </si>
  <si>
    <t>(1) 1P product revenue growth of 34.4% YoY, driven by compliant refurbishment (76.1% growth) and 1P-to-C retail (150% growth); (2) Multi-category recycling GMV up 81.5% YoY; (3) Government trade-in support and brand platform investments; (4) PJT Marketplace registered merchants nearly doubled YoY to 2M.</t>
  </si>
  <si>
    <t>New device shipments in China declined approximately 4% YoY, creating headwinds for the broader market despite ATRenew's strong performance in secondhand electronics.</t>
  </si>
  <si>
    <t>China had the most impact with strong domestic growth. Overseas markets showed rapid revenue growth but remain in early expansion stage with management exploring opportunities to replicate China capabilities internationally.</t>
  </si>
  <si>
    <t>1P product revenue had the most impact with 34.4% YoY growth, driven by compliant refurbishment (76.1% growth) and on-demand refurbishment (180% growth). Multi-category recycling also surged 81.5% YoY, with gold recycling at 83.3% and luxury recycling at 58.8%.</t>
  </si>
  <si>
    <t>Revenue accelerated 32.4% to RMB 6.16B, exceeding guidance. Non-GAAP operating profit surged 70.2% to RMB 190M with margin expansion of 69 basis points to 3.1%. 1P-to-C retail jumped 12.1 percentage points to 45.1% of product revenue. Registered contracted buyers on PJT Marketplace surged 120%+. March refurbished product sales topped RMB 200M.</t>
  </si>
  <si>
    <t>New device shipments in China declined 4% YoY, creating headwinds. Fulfillment expenses rose 22.5% to RMB 520M due to higher personnel costs and operating center expenses. Share repurchases totaled only USD 11M of the USD 50M authorized program, suggesting capital constraints or cautious deployment.</t>
  </si>
  <si>
    <t>Key KPIs: (1) Revenue growth 32.4% YoY to RMB 6.16B; (2) 1P product revenue +34.4%, 3P service revenue +10.4%; (3) Non-GAAP operating profit +70.2% to RMB 190M with 3.1% margin; (4) 1P-to-C retail 45.1% of product revenue; (5) PJT Marketplace merchants nearly doubled to 2M; (6) Recycling GMV +81.5%; (7) Face-to-face fulfillment 80%; (8) 3P take rate 4.92%; (9) 1P gross margin 15.9%. LPD (Latest Period Data): Q1 2026 ended March 31, 2026.</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</si>
  <si>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Aditya Vision Limited, Q4 2026 Earnings Call, May 08, 2026</t>
    </r>
    <r>
      <rPr>
        <rFont val="Aptos Narrow"/>
        <color theme="1"/>
        <sz val="12.0"/>
      </rPr>
      <t xml:space="preserve">
</t>
    </r>
    <r>
      <rPr>
        <rFont val="Aptos Narrow"/>
        <color rgb="FF666666"/>
        <sz val="11.0"/>
      </rPr>
      <t>08 May 26 • Event Transcript</t>
    </r>
  </si>
  <si>
    <t>Aditya Vision Limited</t>
  </si>
  <si>
    <t>05/08/2026</t>
  </si>
  <si>
    <t>MAINTAINED EBITDA margin guidance of 8% to 10%, with management stating they strive to be at 9% margin while pursuing controlled growth without compromising sales.</t>
  </si>
  <si>
    <t>(1) Strong Q3-Q4 performance with 28% revenue growth each quarter driven by festive season and summer demand; (2) Store expansion adding 102 stores in 3 years across 4 states (Bihar, Jharkhand, UP, Chhattisgarh); (3) Transition to balanced full-year model with H2 becoming as important as H1; (4) Strategic inventory buildup enabling competitive positioning and demand capture.</t>
  </si>
  <si>
    <t>(1) Weak summer season in H1 FY '26 with only 6% Q1 and 11% H1 growth; (2) Prolonged rains and delayed GST 2.0 implementation slowing recovery in Q2; (3) Gross margin compression of 100 bps YoY due to lower seasonal product sales and higher share of lower-margin categories (mobility, small appliances); (4) Elevated operating expenses from expansion in UP and new geographies.</t>
  </si>
  <si>
    <t>Bihar remained the largest revenue contributor at 74% in Q4 and 75% in FY '26, followed by UP at 14% and 13% respectively, and Jharkhand at 12%. UP expansion faced headwinds with revenue contribution declining from 14% to 13% despite store additions, as most new stores opened in final months with limited full-year contribution.</t>
  </si>
  <si>
    <t>Mobility products and laptops had the most impact, with mobility ASP rising 20% and laptops 8-10%, together constituting over 25% of sales. Cooling products (air conditioners, coolers, refrigerators) significantly underperformed due to weak summer season in H1 FY'26, while small appliances grew 50%.</t>
  </si>
  <si>
    <t>Most positive: (1) FY'26 delivered 18% revenue growth and 11% PAT growth despite weakest summer since inception; (2) Q4 achieved 28% revenue growth and 36% PAT growth; (3) Company transitioned to all-weather model with H2 becoming as important as H1; (4) Added 102 stores in 3 years, entered fourth state (Chhattisgarh); (5) Maintained 15.6% gross margins and 8.5% EBITDA margins.</t>
  </si>
  <si>
    <t>Most negative: (1) H1 FY'26 delivered only 6% and 11% growth in Q1 and H1 respectively due to weakest summer and prolonged rains; (2) Gross margins declined 100 bps YoY due to underperformance in high-margin cooling products; (3) Inventory at INR 840 crores remains elevated; (4) Operating expenses increased 50% due to expansion costs and brand ambassador investment.</t>
  </si>
  <si>
    <t>Key KPIs: FY'26 revenue growth 18% (INR 2,672 crores), gross margin 15.6%, EBITDA growth 12% (INR 228 crores, 8.5% margin), PAT growth 11% (INR 117 crores), same-store sales growth 8%. Q4 highlights: revenue growth 28% (INR 625 crores), PAT growth 36% (INR 22 crores), same-store sales growth 18%. Store expansion: 207 stores across 4 states. Geographic mix: Bihar 75%, UP 13%, Jharkhand 12%. LPD (Last Performance Date): May 08, 2026 (Q4 FY'26 earnings call).</t>
  </si>
  <si>
    <r>
      <rPr>
        <rFont val="Aptos Narrow"/>
        <b/>
        <color theme="1"/>
        <sz val="11.0"/>
      </rPr>
      <t>EQEBGNG.IN</t>
    </r>
    <r>
      <rPr>
        <rFont val="Aptos Narrow"/>
        <color theme="1"/>
        <sz val="12.0"/>
      </rPr>
      <t xml:space="preserve"> </t>
    </r>
    <r>
      <rPr>
        <rFont val="Aptos Narrow"/>
        <color rgb="FF666666"/>
        <sz val="11.0"/>
      </rPr>
      <t>GNG Electronics Ltd</t>
    </r>
    <r>
      <rPr>
        <rFont val="Aptos Narrow"/>
        <color theme="1"/>
        <sz val="12.0"/>
      </rPr>
      <t xml:space="preserve">
</t>
    </r>
    <r>
      <rPr>
        <rFont val="Aptos Narrow"/>
        <b/>
        <color theme="1"/>
        <sz val="11.0"/>
      </rPr>
      <t>GNG Electronics Ltd 4Q 2026 EARNINGS</t>
    </r>
    <r>
      <rPr>
        <rFont val="Aptos Narrow"/>
        <color theme="1"/>
        <sz val="12.0"/>
      </rPr>
      <t xml:space="preserve">
</t>
    </r>
    <r>
      <rPr>
        <rFont val="Aptos Narrow"/>
        <color rgb="FF666666"/>
        <sz val="11.0"/>
      </rPr>
      <t>05 May 26 • Event Transcript</t>
    </r>
  </si>
  <si>
    <t>No Answer Found</t>
  </si>
  <si>
    <t>MAINTAINED 25% revenue growth guidance with PAT growth of 50 basis points and 200 basis points margin expansion.</t>
  </si>
  <si>
    <t>Major drivers: (1) AI-driven component shortages creating 55-60M unit demand gap for new PCs, (2) refurbished PC value proposition as economical alternative, (3) expanded distribution to 46 countries and 4,895 touchpoints, (4) consumer financing programs at INR 1,000/month EMI, (5) strategic partnerships with leading distributors.</t>
  </si>
  <si>
    <t>Headwinds include: (1) component supply constraints with CPU lead times extending to six months, (2) working capital intensity requiring elevated inventory of INR 743 crores, (3) increased freight costs, (4) elevated debtor days at 40-45 days to support new distributor partnerships, (5) geopolitical risks in UAE operations.</t>
  </si>
  <si>
    <t>US and Europe combined represent 41% of revenue, with US at 21% and Europe at 20%. India contributes 33%, UAE 12%. Middle East, US, and Europe showed particularly strong demand momentum. International expansion grew from 38 to 46 countries.</t>
  </si>
  <si>
    <t>Refurbished laptops had the most impact, representing 81% of 727,000 units sold in FY26 (590,000 prior year). Q4 revenue grew 43% YoY to INR 651.7 crores with gross margins expanding 414 basis points to 19.2%, driven by better procurement and inventory positioning amid component price escalations.</t>
  </si>
  <si>
    <t>PAT nearly tripled to INR 42.1 crores with 323 bps margin expansion, exceeding original and revised guidance. Global footprint expanded from 38 to 46 countries; customer touchpoints grew from 4,154 to 4,895. Structural industry tailwinds from component shortages created 55-60 million unit demand gap, benefiting refurbished segment. Strategic partnerships with leading distributors and affordability programs launched.</t>
  </si>
  <si>
    <t>Q4 margins declined sequentially due to capacity investments in people and processes. Elevated working capital requirements increased finance costs from INR 9 crores to INR 14.5 crores quarterly. Debtor days rose to 40-45 days to compete with new PC distributors. Strategic inventory positioning at INR 743 crores creates debt headroom concerns, though management maintains no capital raise needed.</t>
  </si>
  <si>
    <t>FY26 KPIs: Revenue INR 1,891.1 crores (+34% YoY), PAT INR 132 crores (+91%), EBITDA margin 10.6% (+166 bps), PAT margin 7% (+209 bps). Units 727,000 (+23%), ASP INR 26,000, employees 2,100+, 46 countries, 4,895 touchpoints, net debt INR 300 crores. FY27 guidance: 25% revenue growth, 50 bps PAT margin expansion, 11.5% EBITDA margin. LPD (Last Period Data): FY25 revenue INR 1,410 crores, PAT INR 69 crores, EBITDA margin 8.9%, PAT margin 4.9%.</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</si>
  <si>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Q4 2025 Earnings Call, Mar 11, 2026</t>
    </r>
    <r>
      <rPr>
        <rFont val="Aptos Narrow"/>
        <color theme="1"/>
        <sz val="12.0"/>
      </rPr>
      <t xml:space="preserve">
</t>
    </r>
    <r>
      <rPr>
        <rFont val="Aptos Narrow"/>
        <color rgb="FF666666"/>
        <sz val="11.0"/>
      </rPr>
      <t>11 Mar 26 • Event Transcript</t>
    </r>
  </si>
  <si>
    <t>03/11/2026</t>
  </si>
  <si>
    <t>UPDATED Q1 2026 guidance to RMB 5,860-5,960 million, representing 25.9%-28.1% YoY growth.</t>
  </si>
  <si>
    <t>(1) 1P strategy with 30.7% net product revenue growth; (2) 1P to C retail revenue up 88% YoY to 41.7% of product revenue; (3) multi-category recycling GMV up 125.7% YoY; (4) export channels with 4 consecutive quarters of sequential growth; (5) government trade-in subsidies and rising new device prices.</t>
  </si>
  <si>
    <t>B2C marketplace POP model faced challenges in 2025. Rising new device prices and memory cost pressures intensified competition. Competitive pricing and superior user experience became critical differentiators.</t>
  </si>
  <si>
    <t>Lower-tier cities showed significant impact with strong organic growth, particularly among college students on PJT Marketplace. Company plans continued expansion through local franchisee and city partners in these markets.</t>
  </si>
  <si>
    <t>1P retail had the most impact with 88% YoY revenue growth and 41.7% of product revenue share. Combined refurbishment surged 90.8% YoY. Multi-category recycling GMV grew 125.7% YoY, with gold recycling up 136.3% YoY. Paipai consignment GMV increased 253% YoY to 24% of marketplace GMV.</t>
  </si>
  <si>
    <t>Q4 revenue grew 29% YoY to RMB 6.25B with non-GAAP operating profit up 38.1% to RMB 180M. Full-year revenue grew 28.9% to RMB 21.05B with operating profit up 35.5% to RMB 555M, exceeding internal expectations. 1P gross margin improved to 13.7% from 12.5%. PJT Marketplace users exceeded 1.66M, growing YoY and QoQ.</t>
  </si>
  <si>
    <t>Paipai's POP model faced challenges in 2025. Selling and marketing expenses surged 47.3% to RMB 1.6B, increasing as percentage of revenue to 7.6% from 6.6%. Rising new device prices create competitive pressure requiring more attractive pricing and superior user experiences to maintain market position.</t>
  </si>
  <si>
    <t>Critical KPIs: (1) Q4 revenue RMB 6.25B (+29% YoY), non-GAAP operating profit RMB 180M (+38.1%); (2) Net product revenue RMB 5.83B (+30.7%), service revenue RMB 420M (+8.8%); (3) 1P gross margin 13.7% (+120bps), marketplace take rate 4.79%; (4) 1P-to-C retail 41.7% of product revenue (+1,270bps); (5) Fulfillment expense ratio 7.7% (-40bps); (6) PJT Marketplace users 1.66M+. LPD (Latest Period Data): Q4 2025.</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</si>
  <si>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Aditya Vision Limited, Q3 2026 Earnings Call, Jan 27, 2026</t>
    </r>
    <r>
      <rPr>
        <rFont val="Aptos Narrow"/>
        <color theme="1"/>
        <sz val="12.0"/>
      </rPr>
      <t xml:space="preserve">
</t>
    </r>
    <r>
      <rPr>
        <rFont val="Aptos Narrow"/>
        <color rgb="FF666666"/>
        <sz val="11.0"/>
      </rPr>
      <t>27 Jan 26 • Event Transcript</t>
    </r>
  </si>
  <si>
    <t>01/27/2026</t>
  </si>
  <si>
    <t>MAINTAINED 30-store annual guidance; CONFIRMED crossing 200 stores by FY26 end; MAINTAINED 20-25% growth guidance for FY27.</t>
  </si>
  <si>
    <t>Strong festive demand drove 28% YoY revenue growth in Q3. Category growth: washing machines +30%, panel TVs +30%, AC +22%, mobiles +20%. Store expansion (17 stores added in 9M, targeting 200+ by FY26) and geographic expansion into Chhattisgarh and MP.</t>
  </si>
  <si>
    <t>Q1 faced severe headwinds from extended monsoon and weakest summer in decades, impacting cooling-led demand. Extended monsoon caused product mix shift with lower high-margin cooling category contribution. Higher operating expenses from new store openings in UP and marketing activities in emerging markets pressured margins.</t>
  </si>
  <si>
    <t>Bihar dominated with 75% of Q3 revenues, followed by UP and Jharkhand at 13% each. New UP expansion (Lucknow and Western UP) contributed 26% of Q3 volume, demonstrating strong impact from geographic expansion despite higher operating costs in these emerging markets.</t>
  </si>
  <si>
    <t>Washing machines and panel televisions led growth at 30% each, followed by ACs at 22% and mobiles at 20% in Q3. Washing machines showed strongest momentum, with AC contributing 22% growth despite only 2% growth for 9-month period.</t>
  </si>
  <si>
    <t>Strong Q3 revenue growth of 28% YoY, festive-period growth of 37%, and impressive SSSG of 17% demonstrate resilience. Management expressed confidence in business model durability and long-term growth runway, with January showing continued robust sales momentum.</t>
  </si>
  <si>
    <t>Q1 faced severe weather headwinds with extended monsoon and weakest summer in decades, impacting cooling-led demand. Product mix shifted unfavorably toward lower-margin categories. November-December demand moderated post-festive season. Higher operating expenses from new store openings in UP compressed margins by 33 basis points.</t>
  </si>
  <si>
    <t>Critical KPIs: (1) Revenue growth 15% YoY to INR 2,047 crores (9M); (2) EBITDA INR 177 crores, 10% YoY growth, 8.7% margin; (3) PAT INR 96 crores, 8% growth; (4) SSSG 17% Q3, 5% 9M; (5) Store count 192; (6) Regional mix: Bihar 75%, UP 13%, Jharkhand 13% Q3. LPD (Last Practical Date): December 31, 2025.</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</si>
  <si>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Watches of Switzerland Group PLC, H1 2026 Earnings Call, Dec 04, 2025</t>
    </r>
    <r>
      <rPr>
        <rFont val="Aptos Narrow"/>
        <color theme="1"/>
        <sz val="12.0"/>
      </rPr>
      <t xml:space="preserve">
</t>
    </r>
    <r>
      <rPr>
        <rFont val="Aptos Narrow"/>
        <color rgb="FF666666"/>
        <sz val="11.0"/>
      </rPr>
      <t>04 Dec 25 • Event Transcript</t>
    </r>
  </si>
  <si>
    <t>Watches of Switzerland Group PLC</t>
  </si>
  <si>
    <t>12/04/2025</t>
  </si>
  <si>
    <t>MAINTAINED full year guidance of 6% to 10% revenue growth at constant currency with adjusted EBIT margin flat to 100 basis points down.</t>
  </si>
  <si>
    <t>(1) Showroom investment with GBP 37M spent and 8 projects completed; (2) Certified Preowned, now #2 brand in U.K. and U.S.; (3) E-commerce up 17% in constant currency; (4) Luxury branded jewelry, primarily Roberto Coin with 16% wholesale growth; (5) Client-centric excellence with Net Promoter Score of 94.5%.</t>
  </si>
  <si>
    <t>U.S. tariffs reduced brand margins and caused product margin contraction of 90 basis points. Adverse product mix impacted profitability. U.K. economic slowdown and budget-related taxation concerns pressured consumer spending, though impact remained manageable.</t>
  </si>
  <si>
    <t>U.S. had the most impact with 21% retail growth in constant currency and 20% overall growth in U.S. dollars. U.S. represents 48% of group sales but 59% of adjusted EBIT. U.K. grew 5% adjusting for store closures, demonstrating U.S. as primary growth driver.</t>
  </si>
  <si>
    <t>U.S. retail (+21%) and Roberto Coin wholesale (+16%) drove most impact. Certified preowned became the #2 brand, e-commerce grew 17%, and the U.S. represented 48% of sales but 59% of adjusted EBIT, making it the major profitability driver.</t>
  </si>
  <si>
    <t>Bond Street Rolex boutique exceeded expectations with fantastic client feedback and 94.5% Net Promoter Score. E-commerce growth of 17% and certified preowned becoming the #2 brand were celebrated. Management expressed confidence in Roberto Coin's potential and overall strategy delivery, with strong U.S. performance at +20% and robust demand across brands.</t>
  </si>
  <si>
    <t>Product margins declined 90 basis points due to adverse mix and U.S. tariffs. U.K. sales grew only 2% impacted by store closures. U.K. economic conditions remain challenging with delayed budget announcements and tax rises affecting consumer sentiment, creating headwinds for luxury spending.</t>
  </si>
  <si>
    <t>Critical KPIs: (1) Revenue GBP 845M (+10% constant currency); (2) EBIT GBP 69M (+6%); (3) Free cash flow GBP 48M (+71%); (4) ROCE 17.3% (+80bps); (5) Adjusted EBITDA GBP 91M (+4%); (6) Adjusted EPS 19.6p (+8%); (7) Net debt/EBITDA 0.6x; (8) U.S. retail +21%; (9) E-commerce +17%; (10) Roberto Coin wholesale +16%. LPD (Latest Period Data): H1 FY2026 ended October 2025.</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</si>
  <si>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Watches of Switzerland Group PLC, H1 2026 Earnings Call, Dec 04, 2025</t>
    </r>
    <r>
      <rPr>
        <rFont val="Aptos Narrow"/>
        <color theme="1"/>
        <sz val="12.0"/>
      </rPr>
      <t xml:space="preserve">
</t>
    </r>
    <r>
      <rPr>
        <rFont val="Aptos Narrow"/>
        <color rgb="FF666666"/>
        <sz val="11.0"/>
      </rPr>
      <t>04 Dec 25 • Event Transcript</t>
    </r>
  </si>
  <si>
    <t>MAINTAINED full year guidance of 6% to 10% revenue growth at constant currency with adjusted EBIT margin flat to 100 basis points down; capital expenditure expected between GBP 65-70 million.</t>
  </si>
  <si>
    <t>Major growth drivers: (1) Showroom investment with GBP 37 million spent and 8 projects completed; (2) Certified Pre-Owned, now #2 brand in U.K. and U.S.; (3) Ecommerce up 17% in constant currency; (4) Roberto Coin wholesale up 16%; (5) Client-centric excellence with Net Promoter Score of 94.5%.</t>
  </si>
  <si>
    <t>Headwinds include: (1) U.S. tariffs reduced from 39% to 15% but still increasing landed costs; (2) adverse product mix and brand margin reduction; (3) U.K. consumer weakness post-budget; (4) store closures impact in U.K.; (5) uncertainty on brand responses to tariffs and allocations.</t>
  </si>
  <si>
    <t>U.S. had the most impact, driving 21% retail growth in constant currency and representing 48% of group sales but 59% of adjusted EBIT. U.S. retail was the biggest growth driver, with robust demand across brands and categories supported by showroom expansion.</t>
  </si>
  <si>
    <t>U.S. retail (+21%) and Rolex Certified Pre-Owned (now #2 brand) had the most impact. Ecommerce grew 17%, Roberto Coin wholesale 16%, and the U.S. generated 59% of adjusted EBIT on 48% of sales.</t>
  </si>
  <si>
    <t>Bond Street flagship exceeded expectations with fantastic client feedback and 94.5% NPS. Ecommerce (+17%) and Certified Pre-Owned performed strongly. Roberto Coin received great campaign response. Management stated: 'We love everything about the brand' and 'It's been a great success.'</t>
  </si>
  <si>
    <t>Product margin declined 90bps due to adverse mix and U.S. tariffs. U.K. sales grew only 2% impacted by store closures. Tariffs require 7.5-8% pricing recovery. Uncertainty remains on brand allocations for four months of fiscal year.</t>
  </si>
  <si>
    <t>KPIs: (1) Revenue GBP 845M (+10% constant currency); (2) EBIT GBP 69M (+6%); (3) EBIT margin 8.1% (-30bps); (4) Free cash flow GBP 48M (+71%); (5) ROCE 17.3% (+80bps); (6) Adjusted EPS 19.6p (+8%); (7) U.S. retail +21%; (8) Ecommerce +17%; (9) Net debt GBP 112M (0.6x leverage); (10) Inventory GBP 503M (+5%). LPD (Latest Period Data): H1 FY2026 ended October 2025.</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</si>
  <si>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Q3 2025 Earnings Call, Nov 20, 2025</t>
    </r>
    <r>
      <rPr>
        <rFont val="Aptos Narrow"/>
        <color theme="1"/>
        <sz val="12.0"/>
      </rPr>
      <t xml:space="preserve">
</t>
    </r>
    <r>
      <rPr>
        <rFont val="Aptos Narrow"/>
        <color rgb="FF666666"/>
        <sz val="11.0"/>
      </rPr>
      <t>20 Nov 25 • Event Transcript</t>
    </r>
  </si>
  <si>
    <t>11/20/2025</t>
  </si>
  <si>
    <t>UPDATED Q4 2025 guidance to RMB 6,080-6,180 million (25.4%-27.4% YoY growth) and full-year 2025 guidance to RMB 20.87-20.97 billion (27.8%-28.5% YoY growth).</t>
  </si>
  <si>
    <t>(1) National trade-in initiatives driving e-commerce and manufacturer partnerships; (2) Fulfillment network expansion to 300 cities; (3) AHS Recycle brand building; (4) Compliant refurbishment capabilities with 1P2C revenue at 36.4% of product revenue, up from 26.4%.</t>
  </si>
  <si>
    <t>National subsidy policy changes limited to devices under RMB 6,000, reducing direct impact on premium-focused business. Competitive pressures required flexible return policies and take-rate adjustments on PJT Marketplace to maintain merchant competitiveness.</t>
  </si>
  <si>
    <t>Top-tier cities showed most impact with AHS Recycle brand positioning as China's leading recycling brand through self-operated stores. Mid-to-lower-tier cities grew through franchise partnerships with local merchants expanding to multiple locations.</t>
  </si>
  <si>
    <t>1P product revenue (28.7% YoY growth to RMB 4.73B) had the most impact, driven by compliant refurbished products (102% YoY surge) and 1P2C retail sales (70%+ growth, 36.4% of product revenue). Multi-category recycling contributed RMB 53M (12.5% of service revenue) with 95% YoY transaction volume growth.</t>
  </si>
  <si>
    <t>Record Q3 revenue of RMB 5.15B (+27.1% YoY) and operating profit of RMB 140M (+34.9% YoY) with 13.4% 1P gross margin (up from 11.7%). AHS store network expanded to 2,195 locations. Paipai consignment GMV surged 180% YoY. ATRenew became Earthshot Prize finalist for circular economy contributions.</t>
  </si>
  <si>
    <t>PJT Marketplace take rate was strategically reduced to allow flexible post-sale rights and expand merchant access. Multi-category take rate was reduced during rising gold prices to prioritize user experience. Selling and marketing expenses increased to 7.0% of revenue from 6.3%, reflecting higher advertising and promotional spending.</t>
  </si>
  <si>
    <t>Critical KPIs: (1) Total revenue RMB 5.15B (+27.1% YoY), (2) 1P revenue RMB 4.73B (+28.7% YoY), (3) Service revenue RMB 420M (+11.6% YoY), (4) Operating profit RMB 140M (+34.9% YoY, 2.7% margin), (5) AHS stores 2,195 locations, (6) PJT merchants 1.37M+, (7) Consignment GMV +180% YoY, (8) Multi-category transactions +95% YoY. LPD: Latest Period Data (Q3 2025).</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</si>
  <si>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Aditya Vision Limited, Q2 2026 Earnings Call, Nov 07, 2025</t>
    </r>
    <r>
      <rPr>
        <rFont val="Aptos Narrow"/>
        <color theme="1"/>
        <sz val="12.0"/>
      </rPr>
      <t xml:space="preserve">
</t>
    </r>
    <r>
      <rPr>
        <rFont val="Aptos Narrow"/>
        <color rgb="FF666666"/>
        <sz val="11.0"/>
      </rPr>
      <t>07 Nov 25 • Event Transcript</t>
    </r>
  </si>
  <si>
    <t>11/07/2025</t>
  </si>
  <si>
    <t>MAINTAINED EBITDA margin guidance of 8-10%; expects strong Q3 and Q4 performance; planning to add 30-35 stores in FY '26.</t>
  </si>
  <si>
    <t>Major drivers: (1) GST price cuts improving affordability in TVs, mobiles, washing machines; (2) INR 13,000 crores liquidity from Mukhyamantri Mahila Rojgan Yojana; (3) 30-35% salary hikes from 8th pay commission; (4) free electricity scheme lowering household outflows; (5) festive season demand.</t>
  </si>
  <si>
    <t>Headwinds: (1) extended monsoons with above-normal rainfall (UP 870mm, Bihar 990mm, Jharkhand 785mm); (2) below-seasonal temperatures reducing cooling product demand; (3) subdued demand during Shradh period; (4) delayed GST slab implementation causing customer purchase delays in August-September.</t>
  </si>
  <si>
    <t>Bihar had the most impact with 77% of H1 FY '26 revenues, followed by Jharkhand at 11% and Uttar Pradesh at 12%, reflecting the company's cluster-based regional dominance.</t>
  </si>
  <si>
    <t>Large screen televisions, mobiles, and washing machines had the most impact, performing well with pent-up demand and improved affordability from GST cuts. Q2 revenue grew 22% YoY to INR 458 crores with SSSG at 12%.</t>
  </si>
  <si>
    <t>Strong Q2 revenue growth of 22% YoY to INR 458 crores, robust festive momentum in premium appliances, healthy Q3 entry with strategic inventory, supportive macro environment with policy initiatives, and 26 years of consistent execution with regional dominance.</t>
  </si>
  <si>
    <t>Extended above-normal monsoon, below-seasonal temperatures reduced cooling product demand, subdued Shradh period demand, delayed GST slab implementation caused customer purchase withholding in August-September, and muted AC/cooling product sales pressured gross margins throughout H1.</t>
  </si>
  <si>
    <t>Critical KPIs: (1) Q2 revenue +22% YoY to INR 458 crores; (2) PAT +4.2% YoY to INR 13 crores; (3) Gross margin 15.1%; (4) EBITDA INR 35 crores, 7.6% margin; (5) SSSG Q2 12%, H1 2%; (6) Regional: Bihar 77%, Jharkhand 11%, UP 12%; (7) Store count 188 (+9 Q2); (8) Inventory INR 676 crores. LPD: Last Period Data unavailable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</si>
  <si>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Q2 2025 Earnings Call, Aug 20, 2025</t>
    </r>
    <r>
      <rPr>
        <rFont val="Aptos Narrow"/>
        <color theme="1"/>
        <sz val="12.0"/>
      </rPr>
      <t xml:space="preserve">
</t>
    </r>
    <r>
      <rPr>
        <rFont val="Aptos Narrow"/>
        <color rgb="FF666666"/>
        <sz val="11.0"/>
      </rPr>
      <t>20 Aug 25 • Event Transcript</t>
    </r>
  </si>
  <si>
    <t>08/20/2025</t>
  </si>
  <si>
    <t>UPDATED Q3 2025 revenue guidance to RMB 5,050-5,150 million (24.7%-27.1% YoY growth). ANNOUNCED 3-year shareholder return program committing to return no less than 60% of annual non-GAAP net profit via dividends and share repurchases through 2027.</t>
  </si>
  <si>
    <t>Major growth drivers: (1) National trade-in subsidies for consumer electronics, (2) C2B recycling with 34% YoY growth, (3) P2C retail revenue surging 63.7% YoY to 34.4% of product revenue, (4) JD.com trade-in partnership expansion, (5) June 18th e-commerce promotional campaigns, (6) Expanded store network to 2,092 AHS stores.</t>
  </si>
  <si>
    <t>Headwinds include: (1) Lower-tier city constraints with face-to-face fulfillment below 50% due to limited store density and to-door staffing, (2) High base comparison from August 2024 home appliances national subsidy, (3) Margin pressure from accelerated brand investment and store expansion, with non-GAAP operating margin at 2.4% versus 2.5% prior year.</t>
  </si>
  <si>
    <t>Tier 1-2 cities had the most impact with 90% of orders handled by in-store and to-door teams. Tier 3-4 cities achieved 80% fulfillment. Lower-tier cities showed constraints with face-to-face fulfillment below 50%, indicating significant untapped expansion opportunity.</t>
  </si>
  <si>
    <t>1P product revenue (34% YoY growth to RMB 4.56B) and P2C retail (63.7% YoY surge, 34.4% of product revenue) had the most impact. Paipai consignment GMV surged 128% YoY, and multi-category recycling services grew 110% YoY, demonstrating strong performance across retail and marketplace segments.</t>
  </si>
  <si>
    <t>Revenue exceeded guidance at RMB 4.99B (+32.2% YoY), with 1P product revenue growing 34% YoY. Gross margin improved to 13.2% from 12.1%, and non-GAAP operating margin met 2.4% target. Management announced a 3-year shareholder return program returning up to 60% of annual non-GAAP net profit via dividends and buybacks.</t>
  </si>
  <si>
    <t>Lower-tier cities face constraints with face-to-face fulfillment below 50%, limiting service quality. Operating margin declined 6 basis points to 2.4% from 2.5% YoY. Management expects margin improvements only starting next year, indicating near-term profitability challenges despite revenue growth.</t>
  </si>
  <si>
    <t>Critical KPIs: (1) Total revenue RMB 4.99B (+32.2% YoY); (2) 1P product revenue RMB 4.56B (+34% YoY); (3) 3P service revenue RMB 430M (+15.4% YoY); (4) 2,092 AHS stores (987 self-operated); (5) 1,160 door-to-door personnel; (6) 13.5% refurbished product mix; (7) 5.3% marketplace take rate. LPD (Latest Period Data): Q3 2025 revenue guidance RMB 5,050-5,150M (+24.7-27.1% YoY).</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</si>
  <si>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Aditya Vision Limited, Q1 2026 Earnings Call, Aug 01, 2025</t>
    </r>
    <r>
      <rPr>
        <rFont val="Aptos Narrow"/>
        <color theme="1"/>
        <sz val="12.0"/>
      </rPr>
      <t xml:space="preserve">
</t>
    </r>
    <r>
      <rPr>
        <rFont val="Aptos Narrow"/>
        <color rgb="FF666666"/>
        <sz val="11.0"/>
      </rPr>
      <t>01 Aug 25 • Event Transcript</t>
    </r>
  </si>
  <si>
    <t>08/01/2025</t>
  </si>
  <si>
    <t>MAINTAINED EBITDA margins at 9.5% and gross margins IMPROVED from 15.22% to 15.33% YoY. GUIDED to add 25-30 new stores in FY'26 to cross 200-plus store milestone by year-end.</t>
  </si>
  <si>
    <t>(1) Rising rural incomes and bumper crop harvests across Bihar, Jharkhand, UP; (2) Union Budget 2025 personal tax relief releasing INR 1 lakh crore to consumers; (3) Bihar's 125-unit free electricity scheme boosting consumer durables demand; (4) India's 6.4% FY'26 GDP growth with public CapEx momentum and improving consumer confidence.</t>
  </si>
  <si>
    <t>Unprecedented weather headwinds: (1) Excessive rainfall (UP: 198mm vs 145mm avg; Bihar: 223mm vs 157mm avg; Jharkhand: 215mm vs 155mm avg); (2) Abnormally low temperatures (UP: 35.1°C vs 37.6°C avg; Bihar: 34.8°C vs 37°C avg); (3) Cooling product demand plummeted with 15-30% primary sales decline across leading OEMs; (4) Sharp channel inventory buildup at summer season start.</t>
  </si>
  <si>
    <t>Bihar had the most impact as the largest revenue contributor at 76% of Q1 sales. Despite AC degrowth of only 2% (42% of revenue), overall same-store sales declined 4%, indicating weakness across other categories and geographies. UP (13%) and Jharkhand (11%) contributed less significantly to total revenue.</t>
  </si>
  <si>
    <t>Air conditioners had the most impact, contributing 42% of Q1 FY'26 revenue with only 2% degrowth despite industry-wide 15-30% declines. Unusual weather—excessive rainfall (198-223mm vs 145-157mm average) and cooler temperatures (34-35°C vs 36-37°C average)—severely suppressed AC demand across Bihar, Jharkhand, and Uttar Pradesh.</t>
  </si>
  <si>
    <t>Revenue grew 6% YoY to INR 940 crores with stable EBITDA margins at 9.5% and PAT growth of 4% to INR 55 crores. Gross margins improved to 15.33%. Inventory reduced INR 150 crores, short-term borrowings fell from INR 278 crores to INR 115 crores. Store count reached 182 with 25-30 planned for FY'26. Bihar's free electricity scheme and India's 6.4% GDP growth provide tailwinds.</t>
  </si>
  <si>
    <t>Unprecedented weather severely impacted Q1: rainfall exceeded averages by 36-53mm across Bihar, Jharkhand, and UP; temperatures were 2-2.5°C cooler than historical norms. AC demand plummeted with industry-wide 15-30% primary sales declines. Same-store sales growth fell to -4%, reflecting weak consumer demand despite 6% overall revenue growth driven by new store additions.</t>
  </si>
  <si>
    <t>Critical KPIs: (1) Revenue INR 940 crores (+6% YoY), (2) EBITDA INR 90 crores (9.5% margin), (3) PAT INR 55 crores (+3.9%), (4) Gross margin 15.3% (+10bps), (5) Same-store sales growth -4%, (6) Store count 179 (113 Bihar, 30 Jharkhand, 36 UP), (7) Revenue mix: Bihar 76%, UP 13%, Jharkhand 11%, (8) Inventory INR 548 crores (-INR 150 crores), (9) Short-term borrowings INR 115 crores (-INR 163 crores). LPD: Last Profit Date not mentioned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</si>
  <si>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Watches of Switzerland Group PLC, 2025 Earnings Call, Jul 03, 2025</t>
    </r>
    <r>
      <rPr>
        <rFont val="Aptos Narrow"/>
        <color theme="1"/>
        <sz val="12.0"/>
      </rPr>
      <t xml:space="preserve">
</t>
    </r>
    <r>
      <rPr>
        <rFont val="Aptos Narrow"/>
        <color rgb="FF666666"/>
        <sz val="11.0"/>
      </rPr>
      <t>03 Jul 25 • Event Transcript</t>
    </r>
  </si>
  <si>
    <t>07/03/2025</t>
  </si>
  <si>
    <t>UPDATED guidance for FY '26: revenue growth of 6-10% in constant currency, adjusted EBIT margin flat to down 100 basis points, and capital expenditure of GBP 65-75 million.</t>
  </si>
  <si>
    <t>(1) Showroom investments and renovations offering attractive returns; (2) Strategic acquisitions, particularly in U.S. jewelry; (3) E-commerce expansion in U.S.; (4) Roberto Coin branded jewelry growth; (5) Certified pre-owned expansion; (6) New product launches from brands with improved marketing support.</t>
  </si>
  <si>
    <t>Key headwinds include: (1) U.S. tariffs at 10% on Swiss imports causing mid-single-digit price increases and margin compression from brand partners; (2) U.K. market volatility from prior high price increases impacting consumer sentiment; (3) Asian market declines in Hong Kong and China; (4) uncertain macroeconomic environment affecting tariff developments.</t>
  </si>
  <si>
    <t>The U.S. region had the most positive impact with 16% constant currency growth, achieving $1B+ sales and 19% growth in H2. The U.K. stabilized after volatility, growing 8.1% (FY '20-'25) versus market 5.1%. U.S. market grew 51% versus April 2022, outpacing U.K.'s 20% growth and global markets impacted by Asian declines.</t>
  </si>
  <si>
    <t>The U.S. division had the most impact, achieving over $1 billion in sales and representing 48% of group revenue with 16% constant currency growth. Certified pre-owned (CPO) exceeded expectations, and Roberto Coin and Hodinkee acquisitions showed strong integration progress with significant growth initiatives underway.</t>
  </si>
  <si>
    <t>Most positive comments centered on U.S. market strength, CPO performance exceeding expectations, successful showroom investments (Old Bond Street Rolex boutique with 15,600 visitors in 13 weeks), Roberto Coin momentum and brand elevation plans, e-commerce relaunch performing well, and strong brand partnerships with excellent new product development and marketing.</t>
  </si>
  <si>
    <t>Primary concerns: (1) U.S. tariff uncertainty at 10% creating margin pressure; (2) Brand partners implementing mid-single-digit price increases while reducing retailer margins; (3) FY26 EBIT margin guidance flat to down 100bps; (4) Volatile macroeconomic environment; (5) Potential further tariff changes with unclear impact.</t>
  </si>
  <si>
    <t>Critical KPIs: (1) FY25 sales GBP1.652B (+8% constant currency); (2) Adjusted EBIT GBP150M (+12%, 9.1% margin); (3) Adjusted EPS 41.6p (+9%); (4) Free cash flow GBP98M; (5) ROCE 19%; (6) U.S. sales $1B+ milestone; (7) U.S. CAGR 24.7% (FY20-25); (8) U.K. CAGR 5.1% (calendar 19-24); (9) Group CAGR 13.5% (FY19-25); (10) EBIT CAGR 19.3% (FY19-25). LPD: Last Period Data unavailable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</si>
  <si>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Q1 2025 Earnings Call, May 20, 2025</t>
    </r>
    <r>
      <rPr>
        <rFont val="Aptos Narrow"/>
        <color theme="1"/>
        <sz val="12.0"/>
      </rPr>
      <t xml:space="preserve">
</t>
    </r>
    <r>
      <rPr>
        <rFont val="Aptos Narrow"/>
        <color rgb="FF666666"/>
        <sz val="11.0"/>
      </rPr>
      <t>20 May 25 • Event Transcript</t>
    </r>
  </si>
  <si>
    <t>UPDATED Q2 2025 guidance to RMB 4,710-4,801 million, representing 24.7%-27.4% YoY growth.</t>
  </si>
  <si>
    <t>(1) 1P business accelerated growth at 28.8% YoY, driven by C2B recycling up 50%+ and national subsidies; (2) 1P2C retail revenue surged 73.5% YoY; (3) PJT Marketplace registered merchants exceeded 1 million with double-digit active merchant growth; (4) Paipai consignment sales grew 2.2x YoY.</t>
  </si>
  <si>
    <t>Apple official trade-in revenue declined YoY due to high base from early-stage pricing strategies in Q1 2024. Overseas business faced headwinds requiring business scale adjustments, though margins improved.</t>
  </si>
  <si>
    <t>Three high-tier cities had the most impact, where management transitioned joint-operated stores to self-operated model to handle incremental trade-in volumes from national subsidies and improve user satisfaction.</t>
  </si>
  <si>
    <t>The 1P business had the most impact, growing 28.8% YoY with 1P2C retail revenue surging 73.5% YoY and accounting for 33% of 1P revenue. Multi-category recycling contributed RMB 50M+ revenue (13.3% of service revenues), nearly tripling YoY. National subsidies and JD.com partnership drove C2B consumer electronics recycling growth exceeding 50% YoY.</t>
  </si>
  <si>
    <t>Revenue exceeded guidance at RMB 4,653.5M (+27.5% YoY), with non-GAAP operating income surging 39.5% YoY to RMB 110M+. 1P gross margin improved to 15.2% from 10.9%. AHS Recycle official store revenue grew 160%+ YoY. Net store additions reached 458 YoY. Apple trade-in margins improved significantly despite lower revenue.</t>
  </si>
  <si>
    <t>Apple official trade-in revenue declined YoY from high Q1 2024 base. Overseas business scaled back. Non-GAAP fulfillment expense ratio increased to 9.1% from 8.3% due to expanded store network and operations. Selling expense ratio rose 2.2% from higher promotion, advertising, and channel commission costs.</t>
  </si>
  <si>
    <t>Key KPIs: (1) Total revenue RMB 4,653.5M (+27.5% YoY), guidance beat; (2) Non-GAAP operating income RMB 110M+ (+39.5% YoY), margin 2.4%; (3) 1P revenue +28.8% YoY, 1P2C +73.5% YoY; (4) 1P gross margin 15.2%; (5) PJT merchants 1M+; (6) AHS stores +458 YoY; (7) Door-to-door team +360 to 1,000. LPD (Latest Period Data): Q2 2025 revenue guidance RMB 4,710-4,801M (+24.7-27.4% YoY).</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</si>
  <si>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Aditya Vision Limited, Q4 2025 Earnings Call, May 09, 2025</t>
    </r>
    <r>
      <rPr>
        <rFont val="Aptos Narrow"/>
        <color theme="1"/>
        <sz val="12.0"/>
      </rPr>
      <t xml:space="preserve">
</t>
    </r>
    <r>
      <rPr>
        <rFont val="Aptos Narrow"/>
        <color rgb="FF666666"/>
        <sz val="11.0"/>
      </rPr>
      <t>09 May 25 • Event Transcript</t>
    </r>
  </si>
  <si>
    <t>05/09/2025</t>
  </si>
  <si>
    <t>MAINTAINED guidance of 25-30 store additions annually; may INCREASE guidance upwards to 30-35 stores in later quarters pending further review.</t>
  </si>
  <si>
    <t>Strong 30% revenue growth driven by (1) sharp consumer demand rebound in Feb-Mar, (2) early summer onset, (3) 19% Q4 same-store sales growth, (4) 15% full-year SSSG reflecting core market strength and customer traction.</t>
  </si>
  <si>
    <t>Unseasonal rains delaying summer demand, high prior-year base to beat, compressor supply shortages and government restrictions, tariff uncertainties affecting manufacturer supply, and delayed summer onset impacting Q1 sales momentum.</t>
  </si>
  <si>
    <t>Bihar had the most impact as the largest revenue contributor at 77% in Q4 and 80% for full-year FY'25, followed by Jharkhand at 13% (Q4) and 12% (FY'25), and Uttar Pradesh at 10% (Q4) and 8% (FY'25).</t>
  </si>
  <si>
    <t>Cooling products, particularly room air conditioners (45-50% of Q1 revenue), refrigerators, air coolers, and compressor products drove the most impact. The company achieved 30% revenue growth in FY'25, with Q4 showing exceptional performance as the best quarter in AVL's history.</t>
  </si>
  <si>
    <t>Best Q4 in company history with 30% revenue growth surpassing guidance. PAT grew 37% to INR 105 crores. Same-store sales growth reached 19% in Q4 and 15% for FY'25. Store count reached 175 stores milestone. Management expects sustainable double-digit SSSG going forward.</t>
  </si>
  <si>
    <t>Unseasonal rains and delayed summer caused April demand to be slow with single-digit growth. Gross margins declined 22 bps in FY'25 to 15.7%. Inventory peaked at INR 698 crores, creating negative cash flow. Supply-side uncertainties for compressors and government restrictions pressured operations.</t>
  </si>
  <si>
    <t>FY'25 KPIs: Revenue INR 2,260 crores (+30% YoY), Gross Margin 15.7%, EBITDA INR 204 crores (9% margin), PAT INR 105 crores (+37%), SSSG 15%, 175 stores (112 Bihar, 29 Jharkhand, 34 UP). Q4 KPIs: Revenue INR 487 crores (+30%), EBITDA INR 42 crores (8.7% margin), PAT INR 16 crores (+104%), SSSG 19%. LPD (Last Period Data): Q4 FY'24 revenue INR 376 crores, PAT INR 8 crores.</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</si>
  <si>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Q4 2024 Earnings Call, Mar 11, 2025</t>
    </r>
    <r>
      <rPr>
        <rFont val="Aptos Narrow"/>
        <color theme="1"/>
        <sz val="12.0"/>
      </rPr>
      <t xml:space="preserve">
</t>
    </r>
    <r>
      <rPr>
        <rFont val="Aptos Narrow"/>
        <color rgb="FF666666"/>
        <sz val="11.0"/>
      </rPr>
      <t>11 Mar 25 • Event Transcript</t>
    </r>
  </si>
  <si>
    <t>03/11/2025</t>
  </si>
  <si>
    <t>ISSUED Q1 2025 guidance of RMB 4,550-4,650 million revenue, representing 24.6%-27.4% YoY growth.</t>
  </si>
  <si>
    <t>(1) National trade-in subsidies for mobile phones, tablets, smartwatches; (2) 1P/2P retail growth from 17% to 29% of product revenues; (3) Multi-category recycling tripled YoY to RMB 130M; (4) Expansion to 5,000 stores and 5,000 to-door service team nationwide.</t>
  </si>
  <si>
    <t>Apple trade-in business margin pressure requiring pricing/operational adjustments; overseas business closures due to losses; high Q1 2024 Apple trade-in base creating difficult YoY comparisons in Q1 2025.</t>
  </si>
  <si>
    <t>First and second-tier cities showed strongest impact with rapid multi-category recycling growth optimizing store profitability; lower-tier cities supported through new media IP development for local traffic.</t>
  </si>
  <si>
    <t>Product revenues had the most impact, growing 26.6% to RMB 4,461M in Q4, driven by recycling scale and online consumer electronics sales. Retail revenue reached 29% of product revenues (up 8 points YoY), 1P/2P GMV hit RMB 5.5B, multi-category recycling tripled YoY to 8.6% of service revenue, and Paipai consignment grew 6x YoY.</t>
  </si>
  <si>
    <t>Revenues and profits exceeded targets; FY2024 revenue grew 25.9% to RMB 16.33B, outpacing industry growth. Non-GAAP operating income surged 62.8% to RMB 410M. Company achieved first GAAP operating income. 1P gross margin improved to 12.5% from 10.6% YoY. Trade-in subsidies drove 70%+ C2B recycling growth during Chinese New Year.</t>
  </si>
  <si>
    <t>Apple trade-in business faced headwinds; company adjusted pricing and operational strategy, with Q1 2025 expected to see decreased scale. Overseas businesses were downsized due to losses. Non-GAAP fulfillment expenses increased 32.7% to RMB 392M in Q4, outpacing revenue growth, reflecting expansion costs.</t>
  </si>
  <si>
    <t>Critical KPIs: (1) FY2024 revenue growth 25.9% to RMB 16.3B; (2) Operating income growth 62.8% to RMB 410M; (3) Transaction volume 35.3M+; (4) Retail revenue 29% of product revenues (target 50%); (5) Multi-category recycling 8.6% of service revenue (3x YoY); (6) 1P/2P GMV RMB 5.5B. LPD (Long-term Performance Direction): 5,000 stores and 5,000 to-door service team nationwide by 2028.</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</si>
  <si>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Aditya Vision Limited, Q3 2025 Earnings Call, Jan 30, 2025</t>
    </r>
    <r>
      <rPr>
        <rFont val="Aptos Narrow"/>
        <color theme="1"/>
        <sz val="12.0"/>
      </rPr>
      <t xml:space="preserve">
</t>
    </r>
    <r>
      <rPr>
        <rFont val="Aptos Narrow"/>
        <color rgb="FF666666"/>
        <sz val="11.0"/>
      </rPr>
      <t>30 Jan 25 • Event Transcript</t>
    </r>
  </si>
  <si>
    <t>01/30/2025</t>
  </si>
  <si>
    <t>Company MAINTAINED guidance of 8%-10% EBITDA margins and INCREASED store expansion target to surpass 200 stores by FY'26, with plans to add 8-10 stores by end of FY'25 and potentially exceed 175 stores.</t>
  </si>
  <si>
    <t>Major growth drivers include (1) strong same-store sales growth of 15% in 9M FY'25, (2) expansion in UP with 25 stores across 17 districts, (3) favorable demographics in Hindi Heartland with low penetration, (4) Kumbh Mela event expected to boost disposable income in UP region.</t>
  </si>
  <si>
    <t>Headwinds include (1) sluggish demand post-festive season, (2) high inflation and elevated interest rates impacting consumer spending, (3) gross margin contraction of 96 basis points due to weak demand environment, (4) operating cost pressures from 70 newly opened stores not yet at maturity.</t>
  </si>
  <si>
    <t>Bihar had the most impact as the largest revenue contributor at 79% in Q3 FY'25, followed by Jharkhand at 13% and UP at 9%. Prayagraj stores faced disruption from Kumbh Mela crowds, while other UP stores benefited from increased footfall and economic activity.</t>
  </si>
  <si>
    <t>Air conditioners had the most impact as the highest revenue-contributing product category. Cooling products drove 30% revenue growth to INR 1,773 crores in 9 months FY'25, with same-store sales growth of 15%, reflecting strong demand during summer seasons.</t>
  </si>
  <si>
    <t>Most positive comments centered on strong same-store sales growth of 15%, surpassing FY'24 revenue in 9 months, confidence in reaching 200 stores by FY'26, bullish outlook for summer Q1 driven by Kumbh Mela tourism in UP, and OEM satisfaction with performance versus other geographies.</t>
  </si>
  <si>
    <t>Most negative comments highlighted sluggish demand post-festive season due to high inflation and interest rates, gross margin contraction from weak demand, slower PAT growth of 9.25% YoY despite 23% revenue growth, and elevated operating costs from 70 newly opened stores not yet at maturity.</t>
  </si>
  <si>
    <t>Critical KPIs: (1) Revenue growth 30% YoY to INR 1,773 crores (9M FY'25); (2) PAT growth 29% to INR 89.51 crores; (3) EBITDA margin 9.12%; (4) Same-store sales growth 15%; (5) Store count 167 operational; (6) Gross margin 15.37%. LPD (Last Practical Date): January 30, 2025 (earnings call date).</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</si>
  <si>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Watches of Switzerland Group PLC, H1 2025 Earnings Call, Dec 05, 2024</t>
    </r>
    <r>
      <rPr>
        <rFont val="Aptos Narrow"/>
        <color theme="1"/>
        <sz val="12.0"/>
      </rPr>
      <t xml:space="preserve">
</t>
    </r>
    <r>
      <rPr>
        <rFont val="Aptos Narrow"/>
        <color rgb="FF666666"/>
        <sz val="11.0"/>
      </rPr>
      <t>05 Dec 24 • Event Transcript</t>
    </r>
  </si>
  <si>
    <t>12/05/2024</t>
  </si>
  <si>
    <t>MAINTAINED full year guidance for 9% to 12% constant currency revenue growth for fiscal 2025.</t>
  </si>
  <si>
    <t>(1) Roberto Coin acquisition with strong U.S. sales and integration progressing; (2) Pre-Owned business, particularly Rolex Certified Pre-Owned, growing over 50% in H1; (3) U.S. expansion with sales growing from $120M (FY18) to $870M (FY24); (4) Major showroom projects including Bond Street flagship and Audemars Piguet townhouse.</t>
  </si>
  <si>
    <t>(1) Net margin declined 60 basis points due to higher Pre-Owned mix; (2) EBIT margin fell 120 basis points from fixed cost deleverage; (3) Finance costs increased £5.8M to £7.3M from Roberto Coin acquisition financing; (4) Adjusted EPS declined 16% to 18.1p.</t>
  </si>
  <si>
    <t>U.S. had the most impact with sales growing 11% in H1 (Q1: -1%, Q2: +24% constant currency) and increasing from 24% to 45% of total sales since FY19. U.K. showed sequential improvement with Q2 at +2% after Q1 decline of -4%.</t>
  </si>
  <si>
    <t>Pre-Owned (Rolex CPO and other brands) had the most impact, growing over 50% in H1 and becoming the #2 brand. U.S. watches grew 11% H1 (Q1: -1%, Q2: +24% constant currency). Roberto Coin jewelry sales were strong with successful integration.</t>
  </si>
  <si>
    <t>Positive highlights: (1) Market settled with outperformance and market share gains; (2) November holiday sales in line with growth expectations; (3) Consumer confidence improved significantly; (4) Roberto Coin brand performing strongly with excellent partnership; (5) Rolex CPO now #2 brand with accelerated growth; (6) Hodinkee acquisition well-received by brand partners.</t>
  </si>
  <si>
    <t>Negative comments: (1) Net margin down 60bps YoY due to adverse Pre-Owned product mix; (2) Adjusted EBIT margin down 120bps to 8.4% from fixed cost deleverage; (3) Adjusted EPS declined 16% YoY to 18.1p; (4) U.K. growth modest at +2% Q2; (5) U.S. Q1 down 1% from anticipated stock builds.</t>
  </si>
  <si>
    <t>KPIs: (1) H1 sales +4% constant currency; (2) U.S. +11% H1 (+24% Q2); (3) Pre-Owned +50% H1; (4) Adjusted EBIT £66m (8.4% margin, -120bps); (5) Adjusted EPS 18.1p (-16% YoY); (6) Adjusted EBITDA £87m; (7) Leverage 0.7x; (8) Net debt £120m; (9) Inventory £477m (+19%); (10) Luxury watches 82% mix; (11) Jewelry 12% mix; (12) Rolex CPO in 19 U.S./24 U.K. showrooms. LPD: November sales tracking growth expectations.</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</si>
  <si>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ATRenew Inc., Q3 2024 Earnings Call, Nov 20, 2024</t>
    </r>
    <r>
      <rPr>
        <rFont val="Aptos Narrow"/>
        <color theme="1"/>
        <sz val="12.0"/>
      </rPr>
      <t xml:space="preserve">
</t>
    </r>
    <r>
      <rPr>
        <rFont val="Aptos Narrow"/>
        <color rgb="FF666666"/>
        <sz val="11.0"/>
      </rPr>
      <t>20 Nov 24 • Event Transcript</t>
    </r>
  </si>
  <si>
    <t>11/20/2024</t>
  </si>
  <si>
    <t>UPDATED Q4 2024 guidance to RMB 4.74-4.84 billion, representing 22.4-24.9% YoY growth.</t>
  </si>
  <si>
    <t>Major growth drivers: (1) core recycling business in Mainland China +30% YoY, (2) JD.com trading services doubled YoY with 40%+ value growth, (3) multi-category recycling +270% YoY, (4) direct-to-consumer sales through Paipai (+87.4%), official websites (+301.3%), and new media (+114.6%).</t>
  </si>
  <si>
    <t>Slowing consumer spending pressures demand, requiring accelerated store expansion to capture recycling opportunities.</t>
  </si>
  <si>
    <t>Mainland China had the most impact, with core recycling business revenue increasing over 30% YoY, significantly outpacing overall market growth.</t>
  </si>
  <si>
    <t>Trading services and multi-category recycling had the most impact. Trading services doubled YoY through JD.com, multi-category recycling grew 270% YoY generating RMB 30M+ service revenue, and direct-to-consumer channels grew 87-301% YoY. Core recycling in Mainland China exceeded market growth at 30%+ YoY.</t>
  </si>
  <si>
    <t>First GAAP operating profit milestone of RMB 24.9M achieved; non-GAAP operating income surged 40.9% YoY to RMB 104M with 2.6% margin. Total revenue grew 24.4% to RMB 4.05B. Singles Day trading value jumped 246% YoY. Gross margin improved to 20% from 19.8%.</t>
  </si>
  <si>
    <t>Slowing consumer spending pressures demand; smartphones lack direct trading subsidies limiting growth. Technology expenses increased to 1.2% of revenue from 1%. Cash balance declined sequentially despite strong operations, reflecting inventory buildup for Q4 and share buybacks.</t>
  </si>
  <si>
    <t>Critical KPIs: Q3 revenue RMB 4.05B (+24.4% YoY), product revenue +25.6%, service revenue RMB 379M (+13.9%), 1,637 AHS stores, non-GAAP operating income RMB 104M (+40.9%), operating margin 2.6%. LPD (Latest Period Data): Q4 2024 guidance RMB 4.74-4.84B (+22.4-24.9% YoY).</t>
  </si>
  <si>
    <r>
      <rPr>
        <rFont val="Aptos Narrow"/>
        <b/>
        <color theme="1"/>
        <sz val="11.0"/>
      </rPr>
      <t>STNEWJAISA.IN</t>
    </r>
    <r>
      <rPr>
        <rFont val="Aptos Narrow"/>
        <color theme="1"/>
        <sz val="12.0"/>
      </rPr>
      <t xml:space="preserve"> </t>
    </r>
    <r>
      <rPr>
        <rFont val="Aptos Narrow"/>
        <color rgb="FF666666"/>
        <sz val="11.0"/>
      </rPr>
      <t>Newjaisa Technologies Ltd</t>
    </r>
    <r>
      <rPr>
        <rFont val="Aptos Narrow"/>
        <color theme="1"/>
        <sz val="12.0"/>
      </rPr>
      <t xml:space="preserve">
</t>
    </r>
    <r>
      <rPr>
        <rFont val="Aptos Narrow"/>
        <b/>
        <color theme="1"/>
        <sz val="11.0"/>
      </rPr>
      <t>Newjaisa Technologies Limited, H1 2025 Earnings Call, Nov 20, 2024</t>
    </r>
    <r>
      <rPr>
        <rFont val="Aptos Narrow"/>
        <color theme="1"/>
        <sz val="12.0"/>
      </rPr>
      <t xml:space="preserve">
</t>
    </r>
    <r>
      <rPr>
        <rFont val="Aptos Narrow"/>
        <color rgb="FF666666"/>
        <sz val="11.0"/>
      </rPr>
      <t>20 Nov 24 • Event Transcript</t>
    </r>
  </si>
  <si>
    <t>MAINTAINED guidance for 20-30% YoY growth, expecting to sustain similar momentum with 30-40% annual growth historically.</t>
  </si>
  <si>
    <t>(1) Channel diversification across e-commerce, owned website, and offline; (2) Direct corporate procurement increasing from 25% to 40%; (3) Educational institution partnerships; (4) Product line expansion including MacBooks and tablets; (5) NBFC partnership enabling SME financing options.</t>
  </si>
  <si>
    <t>Increased competition from smaller players on e-commerce platforms as refurbished products gain mainstream recognition; operational challenges from ERP upgrades impacting laptop production; working capital pressure from bulk corporate sourcing requiring 15-20 days inventory holding.</t>
  </si>
  <si>
    <t>India is the primary market focus with 13% PC penetration and $2.5B opportunity. Specific regional impact: Himachal Pradesh partnership with 3,000+ unit project. No other geographic regions mentioned for material impact.</t>
  </si>
  <si>
    <t>Laptops, desktops, and AiO products had the most impact, with H1 revenue growing 20-30% YoY to INR 32 crores (vs INR 27 crores prior year) and 25,350 units sold. Channel diversification drove growth, with offline contributing 31% of sales and owned channels gaining traction. Diwali sales clocked INR 1 crore+ daily, meeting expectations.</t>
  </si>
  <si>
    <t>(1) 20-30% YoY revenue growth to INR 32 crores with 25,350 units sold. (2) Website traffic grew 100%+ H1-to-H1 with 3x active user growth April-October. (3) Non-assisted sales doubled, indicating strong brand recognition. (4) Organic search leadership vs competitors. (5) New 8,000 SFT facility added; CFE certification obtained. (6) Diwali sales met expectations at INR 1 crore+ daily.</t>
  </si>
  <si>
    <t>(1) Increased e-commerce competition from smaller players despite category validation. (2) 10-15 days productivity loss from ERP upgrades impacting laptop production. (3) CFO certification delayed, expected in 1-2 months. (4) Working capital pressure from bulk corporate sourcing requiring 15-20 days inventory holding. (5) Immediate-term competitive pressures on primary e-commerce channels.</t>
  </si>
  <si>
    <t>Key KPIs: (1) Revenue: INR 32 crores H1 (20-30% YoY growth). (2) Units sold: 25,350. (3) Gross margins: sustained at required levels. (4) Headcount: flat at 400 with improved per-unit efficiency. (5) Daily production: INR 1 crore+ Diwali sales. (6) Operational productivity: 0.5-0.75 units/employee/day. (7) Fixed asset capacity utilization: 60%. (8) Employee utilization: 80-90%. (9) ASP: INR 13,000 blended H1.</t>
  </si>
  <si>
    <r>
      <rPr>
        <rFont val="Aptos Narrow"/>
        <b/>
        <color theme="1"/>
        <sz val="11.0"/>
      </rPr>
      <t>EQEBGNG.IN</t>
    </r>
    <r>
      <rPr>
        <rFont val="Aptos Narrow"/>
        <color theme="1"/>
        <sz val="12.0"/>
      </rPr>
      <t xml:space="preserve"> </t>
    </r>
    <r>
      <rPr>
        <rFont val="Aptos Narrow"/>
        <color rgb="FF666666"/>
        <sz val="11.0"/>
      </rPr>
      <t>GNG Electronics Ltd</t>
    </r>
    <r>
      <rPr>
        <rFont val="Aptos Narrow"/>
        <color theme="1"/>
        <sz val="12.0"/>
      </rPr>
      <t xml:space="preserve">
</t>
    </r>
    <r>
      <rPr>
        <rFont val="Aptos Narrow"/>
        <b/>
        <color theme="1"/>
        <sz val="11.0"/>
      </rPr>
      <t>Q3 2026 Earnings Call</t>
    </r>
    <r>
      <rPr>
        <rFont val="Aptos Narrow"/>
        <color theme="1"/>
        <sz val="12.0"/>
      </rPr>
      <t xml:space="preserve">
</t>
    </r>
    <r>
      <rPr>
        <rFont val="Aptos Narrow"/>
        <color rgb="FF666666"/>
        <sz val="11.0"/>
      </rPr>
      <t>05 Feb 26 • Event Transcript</t>
    </r>
  </si>
  <si>
    <t>GNG Electronics Ltd.</t>
  </si>
  <si>
    <t>02/05/2026</t>
  </si>
  <si>
    <t>The company UPDATED guidance for full-year profitability growth from approximately 25% to 28-30% year-on-year, with an improvement in profitability of 150-200 basis points compared to earlier guidance of approximately 75 basis points.</t>
  </si>
  <si>
    <t>Major growth drivers include rising memory and storage prices making new PCs more expensive and less available, driving higher demand for refurbished PCs; strategic partnerships with leading technology distributors; geographic expansion to 44 countries; and increased customer touchpoints across enterprises, institutions, and channel partners.</t>
  </si>
  <si>
    <t>The company faces headwinds from elevated inventory levels required to maintain supply continuity, higher interest costs from increased working capital, and potential supply constraints as AI investments divert memory manufacturing capacity away from conventional DRAM and storage used in new PCs.</t>
  </si>
  <si>
    <t>International markets had the most impact, with the Middle East, United States, and Europe driving continued traction, and international business contributing approximately 60% of total revenues.</t>
  </si>
  <si>
    <t>Refurbished laptops and desktops had the most impact, with laptops representing 83% of Q3 volumes (140,000 units) and 76% of revenue, while the company's warranty framework and brand positioning under Electronics Bazaar drove margin expansion and customer acceptance.</t>
  </si>
  <si>
    <t>Most positive comments centered on strong profitability growth exceeding revenue growth, favorable industry tailwinds from memory shortages driving refurbished PC demand, successful geographic expansion to 44 countries with 4,745 customer touchpoints, and strategic distributor partnerships with leading global technology companies validating the business model.</t>
  </si>
  <si>
    <t>Negative comments were minimal, though management acknowledged elevated inventory requirements to manage supply constraints, potential margin compression risks in Q4 (though expected to be better this year), and the need to balance volume growth with margin expansion in a competitive environment.</t>
  </si>
  <si>
    <t>Critical KPIs include: Revenue growth of 40.3% YoY to INR 4,872.2 million; EBITDA margin expansion to 11.2% (200 bps improvement); PAT more than doubled to INR 386.9 million with 7.9% margin; volume growth from 401,000 to 488,000 units (9-month); 44 countries served with 4,745 customer touchpoints; employee strength increased to 1,900 from 1,194; warranty costs at 10-12 basis points; working capital days at 120-130 days; gross debt of INR 527 crores; net debt of INR 466 crores; ASP for laptops at INR 28,800 (up INR 1,000 QoQ); international revenue at 60% of total sales.</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</si>
  <si>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Q3 2026 Earnings Call</t>
    </r>
    <r>
      <rPr>
        <rFont val="Aptos Narrow"/>
        <color theme="1"/>
        <sz val="12.0"/>
      </rPr>
      <t xml:space="preserve">
</t>
    </r>
    <r>
      <rPr>
        <rFont val="Aptos Narrow"/>
        <color rgb="FF666666"/>
        <sz val="11.0"/>
      </rPr>
      <t>27 Jan 26 • Event Transcript</t>
    </r>
  </si>
  <si>
    <t>Aditya Vision Ltd.</t>
  </si>
  <si>
    <t>MAINTAINED EBITDA margin guidance at approximately 8.7% for the full year; UPDATED store expansion guidance to cross 200 stores by FY 2026; INCREASED revenue growth expectations to 20-25% for FY 2027.</t>
  </si>
  <si>
    <t>Strong festive demand with 37% growth during Durga Puja to Chhath Puja period; robust same-store sales growth of 17% in Q3; strong performance in washing machines (30%+ growth) and panel televisions (30% growth); expansion into new geographies including UP, Chhattisgarh, and Madhya Pradesh.</t>
  </si>
  <si>
    <t>Adverse weather conditions including extended monsoon and weak summer in Q1 impacting cooling-led demand; temporary shift in product mix toward lower-margin categories due to extended monsoon; higher operating expenses from new store openings in UP and marketing activities in emerging markets; higher other expenses including employee bonuses.</t>
  </si>
  <si>
    <t>Bihar remained the dominant region with 75% of Q3 revenues and 76% of nine-month revenues; UP and Jharkhand each contributed 13% of Q3 revenues and 12% respectively for nine months; UP is identified as having tremendous expansion potential with only 24 of 75 districts currently covered.</t>
  </si>
  <si>
    <t>Washing machines and panel televisions led growth with over 30% increases, followed by air conditioners at 22% in Q3, and mobiles at 20%, while ACs grew only 2% for the nine-month period.</t>
  </si>
  <si>
    <t>Strong revenue growth of 28% YoY in Q3, robust same-store sales growth of 17% in Q3, successful store expansion with 192 stores and plans to exceed 200 by year-end, improved market sentiment in late December and January, and strong festive demand driving 37% growth during the festive period.</t>
  </si>
  <si>
    <t>Q1 FY 2026 was severely impacted by adverse weather with extended monsoon and weak summer reducing cooling demand, EBITDA and PAT margins moderated in Q2 and Q3 due to product mix shifts and higher operating expenses from new store openings, and inventory levels increased moderately due to opportunistic AC purchases ahead of summer season.</t>
  </si>
  <si>
    <t>Critical KPIs include: Revenue growth (28% YoY in Q3, 15% for nine months), EBITDA growth (14% YoY in Q3, 10% for nine months) with EBITDA margin at 8.2% in Q3 and 8.7% for nine months, PAT growth (18% YoY in Q3, 8% for nine months), same-store sales growth (17% in Q3, 5% for nine months), store count (192 stores as of December 31, 2025, targeting 200+ by FY 2026), and gross margins (15.8% in Q3, 15% for nine months). LPD (Last Practical Date): 2026-01-27.</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</si>
  <si>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Q2 2026 Earnings Call</t>
    </r>
    <r>
      <rPr>
        <rFont val="Aptos Narrow"/>
        <color theme="1"/>
        <sz val="12.0"/>
      </rPr>
      <t xml:space="preserve">
</t>
    </r>
    <r>
      <rPr>
        <rFont val="Aptos Narrow"/>
        <color rgb="FF666666"/>
        <sz val="11.0"/>
      </rPr>
      <t>04 Dec 25 • Event Transcript</t>
    </r>
  </si>
  <si>
    <t>Watches of Switzerland Group Plc</t>
  </si>
  <si>
    <t>MAINTAINED full year guidance of 6% to 10% revenue growth at constant currency with adjusted EBIT margin percentage flat to 100 basis points down on last year.</t>
  </si>
  <si>
    <t>Major growth drivers include showroom investment (£37 million in first half with eight projects completed), Certified Pre-Owned (Rolex CPO now number two brand in UK and US), ecommerce (up 17% in constant currency), luxury branded jewelry (Roberto Coin wholesale up 16%), and strategic acquisitions (Roberto Coin and Hodinkee).</t>
  </si>
  <si>
    <t>Headwinds include net product margin decline of 90 basis points due to adverse product mix and US tariffs, UK market challenges with 2% sales growth impacted by store closures, and UK economic slowdown with consumer concerns about tax rises.</t>
  </si>
  <si>
    <t>The US had the most impact with sales up 20% in US dollars and representing 48% of group sales but 59% of adjusted EBIT, driven by strong retail performance (up 21% in constant currency) and Roberto Coin wholesale growth (up 16%).</t>
  </si>
  <si>
    <t>The US retail business, Certified Pre-Owned (particularly Rolex CPO), ecommerce, and Roberto Coin luxury jewelry had the most significant impact on performance.</t>
  </si>
  <si>
    <t>Most positive comments centered on strong US market momentum, exceptional Rolex Bond Street performance with 94.5% Net Promoter Score, robust Certified Pre-Owned success, ecommerce growth, and Roberto Coin's strong market reception.</t>
  </si>
  <si>
    <t>Negative comments included product margin contraction from US tariffs, adverse product mix impacting UK margins, UK economic slowdown concerns, and potential challenges from consumer migration due to taxation.</t>
  </si>
  <si>
    <t>Key KPIs include: Revenue £845 million (up 10% constant currency), EBIT £69 million (up 6%), ROCE 17.3% (up 80 bps), Free Cash Flow £48 million (up 71%), Leverage 0.6x EBITDA, Adjusted EBIT margin 8.1%, US retail growth 21%, Ecommerce growth 17%, Roberto Coin wholesale growth 16%, and Net Promoter Score 94.5% at Bond Street. LPD (Latest Period Data): H1 FY2026 ended October 2025.</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</si>
  <si>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Q3 2025 Earnings Call</t>
    </r>
    <r>
      <rPr>
        <rFont val="Aptos Narrow"/>
        <color theme="1"/>
        <sz val="12.0"/>
      </rPr>
      <t xml:space="preserve">
</t>
    </r>
    <r>
      <rPr>
        <rFont val="Aptos Narrow"/>
        <color rgb="FF666666"/>
        <sz val="11.0"/>
      </rPr>
      <t>20 Nov 25 • Event Transcript</t>
    </r>
  </si>
  <si>
    <t>UPDATED full year 2025 revenue guidance to RMB 20.87-20.97 billion (27.8-28.5% YoY growth) and ISSUED Q4 2025 guidance of RMB 6.08-6.18 billion (25.4-27.4% YoY growth).</t>
  </si>
  <si>
    <t>Major growth drivers include: (1) national trade-in initiatives promoting e-commerce and brand manufacturer trade-in services, (2) rapid expansion of fulfillment network across nearly 300 cities, (3) building AHS Recycle brand influence, and (4) improved supply chain efficiency through combined refurbishment capabilities.</t>
  </si>
  <si>
    <t>The document mentions that in top-tier cities, ATRenew is positioning AHS Recycle as China's leading recycle brand through self-operated stores, while in mid to lower tier cities, the company partners with local merchants to expand AHS store networks.</t>
  </si>
  <si>
    <t>1P product revenue and combined refurbished product revenue had the most impact, with 1P product revenue growing 28.7% YoY to RMB 4.73 billion and combined refurbished product revenue surging 102% YoY, while 1P2C revenue sustained robust growth of over 70% YoY.</t>
  </si>
  <si>
    <t>Most positive comments included record net revenue of RMB 5.15 billion with 27.1% YoY growth, non-GAAP operating profit reaching record high of RMB 140 million up 34.9% YoY, AHS Store network growth to 2,195 locations, and recognition as finalist for the prestigious Earthshot Prize for circular economy contributions.</t>
  </si>
  <si>
    <t>Negative comments were minimal, though management noted temporary strategic adjustments to PJT Marketplace take rate to allow more flexible post-sale rights and mentioned that selling and marketing expenses increased 40.6% on a non-GAAP basis, with S&amp;M as a percentage of total revenues increasing to 7.0% from 6.3%.</t>
  </si>
  <si>
    <t>Key KPIs include: Total revenue RMB 5.15 billion (27.1% YoY growth), 1P product revenue RMB 4.73 billion (28.7% YoY), 3P service revenue RMB 420 million (11.6% YoY), non-GAAP operating profit RMB 140 million (34.9% YoY), non-GAAP operating margin 2.7%, gross profit margin 13.4%, marketplace take rate 4.89%, AHS Store network 2,195 locations, contracted merchants 1.37 million, 1P2C proportion 36.4%, multi-category transaction volume growth 95% YoY, Paipai consignment GMV growth 180% YoY, and cash and equivalents RMB 2.54 billion. LPD (Latest Period Data): Q3 2025 ending September 30, 2025.</t>
  </si>
  <si>
    <r>
      <rPr>
        <rFont val="Aptos Narrow"/>
        <b/>
        <color theme="1"/>
        <sz val="11.0"/>
      </rPr>
      <t>EQAVL.IN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Q1 2026 Earnings Call</t>
    </r>
    <r>
      <rPr>
        <rFont val="Aptos Narrow"/>
        <color theme="1"/>
        <sz val="12.0"/>
      </rPr>
      <t xml:space="preserve">
</t>
    </r>
    <r>
      <rPr>
        <rFont val="Aptos Narrow"/>
        <color rgb="FF666666"/>
        <sz val="11.0"/>
      </rPr>
      <t>01 Aug 25 • Event Transcript</t>
    </r>
  </si>
  <si>
    <t>The company MAINTAINED guidance to add 25-30 new stores in FY 2026, aiming to cross 200+ store milestone.</t>
  </si>
  <si>
    <t>Major growth drivers include India's 6.4% economic growth, rising rural incomes, INR 1 lakh crore personal tax relief, Bihar's 125 unit free electricity scheme, and retail footprint expansion.</t>
  </si>
  <si>
    <t>The company faced unusual weather conditions with excessive rainfall, coldest May in six decades, no heat waves, causing demand for cooling products to plummet and 15-30% decline in OEM sales.</t>
  </si>
  <si>
    <t>Bihar, Jharkhand and Uttar Pradesh were the core markets most impacted by unusual weather conditions.</t>
  </si>
  <si>
    <t>Air conditioners and seasonal cooling products had the most impact, with AC contributing 42% of total turnover and cooling products experiencing significant demand decline due to unusual weather conditions.</t>
  </si>
  <si>
    <t>Management highlighted revenue growth of 6%, maintained EBITDA margins at 9.5%, improved gross margins, effective inventory management, and optimistic outlook for India's economic growth.</t>
  </si>
  <si>
    <t>The most negative comments centered on unusual weather conditions causing the worst summer in 26 years, plummeting demand for cooling products, and negative same-store sales growth of 4%.</t>
  </si>
  <si>
    <t>Key KPIs include revenue growth (6% YoY), gross margin (15.3%), EBITDA margin (9.5%), PAT growth (3.9%), same-store sales growth (-4%), store count (179 stores), and regional revenue contribution (Bihar 76%, UP 13%, Jharkhand 11%). LPD not mentioned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</si>
  <si>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Q3 2022 Earnings Call</t>
    </r>
    <r>
      <rPr>
        <rFont val="Aptos Narrow"/>
        <color theme="1"/>
        <sz val="12.0"/>
      </rPr>
      <t xml:space="preserve">
</t>
    </r>
    <r>
      <rPr>
        <rFont val="Aptos Narrow"/>
        <color rgb="FF666666"/>
        <sz val="11.0"/>
      </rPr>
      <t>22 Nov 22 • Event Transcript</t>
    </r>
  </si>
  <si>
    <t>11/22/2022</t>
  </si>
  <si>
    <t>The company ISSUED guidance for Q4 2022 total revenues between RMB 2,930 million and RMB 3,030 million.</t>
  </si>
  <si>
    <t>Major growth drivers include stable development of core consumer electronics recycling business, new multi-category recycling services, increased sourcing volume, and 1P2C distribution of compliant refurbished devices.</t>
  </si>
  <si>
    <t>The company faces headwinds from challenging macro environment, strict pandemic-control measures, plateaued consumer demand for new phones, and slowed consumption.</t>
  </si>
  <si>
    <t>Cities with the most impact included Tianjin and Chengdu in Q3, and Shanghai and Beijing in Q2.</t>
  </si>
  <si>
    <t>The 1P business had the most impact, with revenues rebounding significantly by 33.7% year-over-year, primarily driving overall growth.</t>
  </si>
  <si>
    <t>The most positive comments highlighted achieving high-end guidance revenue, non-GAAP operating profit, three consecutive quarters of positive cash flow, and receiving a low ESG risk rating.</t>
  </si>
  <si>
    <t>The most negative comments focused on challenging macro environment, strict pandemic controls, plateaued consumer demand, and operational disruptions in key cities.</t>
  </si>
  <si>
    <t>Key KPIs include revenue growth (29.2%), GMV growth (14.5%), inventory turnover (26 days), commission rate (4.45%), fulfillment expenses ratio (10.7%), and operating margin (0.4%).</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</si>
  <si>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Q2 2022 Earnings Call</t>
    </r>
    <r>
      <rPr>
        <rFont val="Aptos Narrow"/>
        <color theme="1"/>
        <sz val="12.0"/>
      </rPr>
      <t xml:space="preserve">
</t>
    </r>
    <r>
      <rPr>
        <rFont val="Aptos Narrow"/>
        <color rgb="FF666666"/>
        <sz val="11.0"/>
      </rPr>
      <t>24 Aug 22 • Event Transcript</t>
    </r>
  </si>
  <si>
    <t>08/24/2022</t>
  </si>
  <si>
    <t>The company issued guidance for Q3 2022 total revenues between RMB 2,500-2,550 million, expects 75,000 refurbishment orders generating RMB 130 million GMV (INCREASING over 80% vs Q2), and forecasts 1P business gross margin of 13.5%-14% for H2 2022.</t>
  </si>
  <si>
    <t>Major growth drivers include increased sourcing volume and sales through Paipai Marketplace and overseas channels, higher transaction volume and monetization of PJT Marketplace, early iPhone 14 launch in September, and AHS Recycle brand upgrade with category expansion.</t>
  </si>
  <si>
    <t>The company faces headwinds from COVID-19 pandemic impacts on operations in Shanghai and Beijing, weak consumer confidence in electronic products, operational difficulties for merchant users, and pressure in the domestic new electronic devices market.</t>
  </si>
  <si>
    <t>Shanghai had the most impact, with the city under COVID control measures for two consecutive months, employees working from home from March 15 to June 1, and one-third of self-operated AHS stores temporarily suspended in Shanghai and Beijing.</t>
  </si>
  <si>
    <t>The 1P recycling business had the most impact, particularly in Shanghai and Beijing, where COVID control measures temporarily suspended one-third of self-operated AHS stores.</t>
  </si>
  <si>
    <t>The most positive comments highlighted revenue exceeding guidance at RMB 2.15 billion, demonstrating resilience, improved operating margins, and achieving second consecutive quarter of positive operating cash flow.</t>
  </si>
  <si>
    <t>The most negative comments focused on unprecedented operational challenges from COVID, store suspensions, logistics interruptions, and weak consumer confidence affecting merchant users.</t>
  </si>
  <si>
    <t>Key KPIs include total net revenues (RMB 2.15B, +14.9%), total GMV (RMB 8.6B, +10.3%), marketplace take rate (4.54%), registered merchants (330K, +41%), operating margin (-2%), and operating cash flow (RMB 280M positive).</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</si>
  <si>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Q4 2022 Earnings Call</t>
    </r>
    <r>
      <rPr>
        <rFont val="Aptos Narrow"/>
        <color theme="1"/>
        <sz val="12.0"/>
      </rPr>
      <t xml:space="preserve">
</t>
    </r>
    <r>
      <rPr>
        <rFont val="Aptos Narrow"/>
        <color rgb="FF666666"/>
        <sz val="11.0"/>
      </rPr>
      <t>07 Jul 22 • Event Transcript</t>
    </r>
  </si>
  <si>
    <t>07/07/2022</t>
  </si>
  <si>
    <t>The company REITERATED guidance for revenue growth of 17% to 21%, EBITDA margin expansion of 0 to 50 basis points, and CapEx of £70-80 million.</t>
  </si>
  <si>
    <t>Major growth drivers include strong luxury jewelry growth (86%), US market expansion (48% growth), showroom network expansion, e-commerce business strength, and market share gains in key markets.</t>
  </si>
  <si>
    <t>The company faces inflationary pressures on people costs, increased utility costs, and broader economic slowdown concerns.</t>
  </si>
  <si>
    <t>The US and UK had the most positive impact with growth of 48% and 36% respectively, while China and Hong Kong declined due to COVID restrictions.</t>
  </si>
  <si>
    <t>Luxury jewelry had the most impact with 86% growth, followed by the US division with 48% growth and luxury watches with 36% growth.</t>
  </si>
  <si>
    <t>The most positive comments highlighted record financial performance with 40% sales growth, 68% profit growth, 76% EPS growth, and exceptional employee engagement scores of 86%.</t>
  </si>
  <si>
    <t>The most negative comments focused on product shortages with 75% of products on waitlists, no in-store stock for key brands, and inflationary pressures affecting the economy.</t>
  </si>
  <si>
    <t>Key KPIs include sales growth (40% overall), adjusted EBIT growth (68%), EPS growth (76%), return on capital employed (27.4%), stock turnover (2.6 times), and sales conversion rate (15.6%). No LPD information found.</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</si>
  <si>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Q1 2022 Earnings Call</t>
    </r>
    <r>
      <rPr>
        <rFont val="Aptos Narrow"/>
        <color theme="1"/>
        <sz val="12.0"/>
      </rPr>
      <t xml:space="preserve">
</t>
    </r>
    <r>
      <rPr>
        <rFont val="Aptos Narrow"/>
        <color rgb="FF666666"/>
        <sz val="11.0"/>
      </rPr>
      <t>24 May 22 • Event Transcript</t>
    </r>
  </si>
  <si>
    <t>05/24/2022</t>
  </si>
  <si>
    <t>The company ISSUED guidance for Q2 2022 total revenues between RMB 2,000 million to RMB 2,050 million.</t>
  </si>
  <si>
    <t>Major growth drivers include increased AHS store density, reinforced JD.com collaboration, greater consumer mindshare for Paipai Marketplace, growing transaction volumes, and increased value-added services on PJT Marketplace.</t>
  </si>
  <si>
    <t>The company faces pandemic headwinds including regional lockdowns in Shanghai since mid-March, expected to drag 20-25% of Q2 revenue.</t>
  </si>
  <si>
    <t>Shanghai had the most impact with regional lockdowns since mid-March, followed by Beijing, while Shenzhen has returned to normal.</t>
  </si>
  <si>
    <t>Product sales had the most impact with 57.1% GMV growth, followed by online marketplace GMV at 50% growth, driving overall strong performance.</t>
  </si>
  <si>
    <t>Management highlighted achieving non-GAAP operating profit, positive cash flow of RMB 120 million, exceeding guidance with strong revenue growth, and confidence in business resilience.</t>
  </si>
  <si>
    <t>Management expressed concerns about COVID-19 lockdowns dragging 20-25% of Q2 revenue, affecting one-third of self-operated stores, and causing merchant connection interruptions.</t>
  </si>
  <si>
    <t>Key KPIs include GMV (RMB 9.38B, +51.6%), total revenue (RMB 2.21B, +45.7%), gross margin (25.7%), commission rate (4.1%), registered merchants (300K, +39%), and store count (1,446 stores).</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</si>
  <si>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Q4 2021 Earnings Call</t>
    </r>
    <r>
      <rPr>
        <rFont val="Aptos Narrow"/>
        <color theme="1"/>
        <sz val="12.0"/>
      </rPr>
      <t xml:space="preserve">
</t>
    </r>
    <r>
      <rPr>
        <rFont val="Aptos Narrow"/>
        <color rgb="FF666666"/>
        <sz val="11.0"/>
      </rPr>
      <t>10 Mar 22 • Event Transcript</t>
    </r>
  </si>
  <si>
    <t>03/10/2022</t>
  </si>
  <si>
    <t>The company issued guidance for Q1 2022 total revenues between RMB 2,150-2,200 million, expects stable and healthy growth in 2022, plans to open 200 new standard AHS stores, and aims to add 500 partner stores.</t>
  </si>
  <si>
    <t>Major growth drivers include increasing consumer demand for trading, penetration in lower tier cities, enhanced local sourcing capabilities, improved efficiency through growing AHS store density, and increased user monetization capabilities of marketplaces.</t>
  </si>
  <si>
    <t>The company faces headwinds from COVID-19 variants causing adverse impacts on store operations, warehouses, and merchant transactions, though overall impacts have been limited and controllable due to scattered storefronts.</t>
  </si>
  <si>
    <t>Shenzhen and Dongguan were specifically mentioned as regions that had recent COVID-19 incidents requiring neighboring cities to handle their orders.</t>
  </si>
  <si>
    <t>The AHS store network expansion and online marketplaces (PJT and Paipai) had the most impact, driving significant GMV and revenue growth.</t>
  </si>
  <si>
    <t>Management expressed delight about continued growth momentum, beating Q4 guidance, achieving non-GAAP operating profitability, and record-high store economics.</t>
  </si>
  <si>
    <t>The most negative comments concerned COVID-19 variants' adverse impact on operations and unpredictable material negative impacts on the business.</t>
  </si>
  <si>
    <t>Key KPIs include GMV growth (65.8%), revenue growth (60.1%), non-GAAP operating margin improvement, marketplace take rate (4.8%), and local penetration rate. LPD not specified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</si>
  <si>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Q2 2022 Earnings Call</t>
    </r>
    <r>
      <rPr>
        <rFont val="Aptos Narrow"/>
        <color theme="1"/>
        <sz val="12.0"/>
      </rPr>
      <t xml:space="preserve">
</t>
    </r>
    <r>
      <rPr>
        <rFont val="Aptos Narrow"/>
        <color rgb="FF666666"/>
        <sz val="11.0"/>
      </rPr>
      <t>09 Dec 21 • Event Transcript</t>
    </r>
  </si>
  <si>
    <t>12/09/2021</t>
  </si>
  <si>
    <t>The company UPGRADED its FY 2022 guidance with net sales expected to grow 27-33%, reaching £1.15-1.2 billion, and adjusted EBITDA margin improving 1-1.5%.</t>
  </si>
  <si>
    <t>Strong performance in both US and UK markets, growth in non-supply constrained luxury watch brands, and strategic store acquisitions in the US.</t>
  </si>
  <si>
    <t>Supply constraints on key brands like Rolex, Patek Philippe, and Audemars Piguet, and potential disruptions from lockdowns.</t>
  </si>
  <si>
    <t>Both the US and UK regions had significant positive impact, with the US showing stronger growth at 50% versus last year.</t>
  </si>
  <si>
    <t>Non-supply constrained luxury watch brands and luxury jewelry had the most impact, with jewelry up 55% and other luxury watches increasing to 28.2% of group sales.</t>
  </si>
  <si>
    <t>The most positive comments highlighted record-breaking sales and profits, excellent first half performance, strongest ever balance sheet, and improved ROCE to 23.1%.</t>
  </si>
  <si>
    <t>The most negative comment was the cautionary assumption about potential supply disruptions and extended national lockdowns affecting guidance.</t>
  </si>
  <si>
    <t>Key KPIs include four-wall EBITDA (20.5%), adjusted EBITDA (£82.8M), adjusted EBIT (£67.5M), ROCE (23.1%), and free cash flow conversion (123.6%). No LPD information found.</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</si>
  <si>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Q3 2021 Earnings Call</t>
    </r>
    <r>
      <rPr>
        <rFont val="Aptos Narrow"/>
        <color theme="1"/>
        <sz val="12.0"/>
      </rPr>
      <t xml:space="preserve">
</t>
    </r>
    <r>
      <rPr>
        <rFont val="Aptos Narrow"/>
        <color rgb="FF666666"/>
        <sz val="11.0"/>
      </rPr>
      <t>18 Nov 21 • Event Transcript</t>
    </r>
  </si>
  <si>
    <t>11/18/2021</t>
  </si>
  <si>
    <t>The company MAINTAINED its fiscal year 2021 gross target unchanged and expects Q4 2021 total revenues between RMB 2.3-2.35 billion.</t>
  </si>
  <si>
    <t>Major growth drivers include AHS store network expansion, pre-owned device trade-ins with JD.com (79.2% growth), and marketplace GMV expansion with rising service take rates.</t>
  </si>
  <si>
    <t>The company faces supply constraints in the pre-owned industry and potential adverse impacts from COVID-19 Delta variant on offline stores.</t>
  </si>
  <si>
    <t>Multiple regions in China were impacted by the COVID-19 Delta variant, which could adversely affect offline stores and business operations.</t>
  </si>
  <si>
    <t>The 1P business and trading collaboration with JD.com had the most impact, with JD collaboration growing 79.2% year-over-year and service revenues growing 67.3%.</t>
  </si>
  <si>
    <t>Management highlighted strong organic growth, achieving store expansion targets ahead of schedule, halving operating losses, and confidence in reaching profitability by 2022.</t>
  </si>
  <si>
    <t>Management noted supply constraints as headwinds, increased procurement costs impacting gross profit, and potential COVID-19 Delta variant uncertainties affecting offline stores.</t>
  </si>
  <si>
    <t>Key KPIs include total GMV (RMB 8.3B), service revenue percentage (15.2%), market penetration rate (12.5% in Shanghai), and non-GAAP operating margins for measuring strategic performance.</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</si>
  <si>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Q2 2021 Earnings Call</t>
    </r>
    <r>
      <rPr>
        <rFont val="Aptos Narrow"/>
        <color theme="1"/>
        <sz val="12.0"/>
      </rPr>
      <t xml:space="preserve">
</t>
    </r>
    <r>
      <rPr>
        <rFont val="Aptos Narrow"/>
        <color rgb="FF666666"/>
        <sz val="11.0"/>
      </rPr>
      <t>17 Aug 21 • Event Transcript</t>
    </r>
  </si>
  <si>
    <t>08/17/2021</t>
  </si>
  <si>
    <t>The company MAINTAINED growth momentum expectations for fiscal year 2021 and provided Q3 2021 revenue guidance of RMB 1.87-1.93 billion.</t>
  </si>
  <si>
    <t>Major growth drivers include rapid growth in trade-in business with JD Group, opening new stores, efficient existing store operations, fast 1P device sales on Paipai, and strong customer demand with expanding platform network effects.</t>
  </si>
  <si>
    <t>The company faces headwinds from COVID-19 Delta variant impacts, potential urban lockdowns affecting 1P business, uncertain iPhone 13 launch timing, and supply chain constraints on quality devices.</t>
  </si>
  <si>
    <t>The one-stop trading business with JD Group had the most impact, with GMV increasing over 170% year-over-year.</t>
  </si>
  <si>
    <t>Management highlighted that Q2 results exceeded expectations and demonstrated strong growth potential and acknowledged supply chain capabilities.</t>
  </si>
  <si>
    <t>Management expressed concerns about COVID-19 Delta variant impacts, potential lockdowns affecting 1P business, and uncertainty around iPhone 13 launch timing.</t>
  </si>
  <si>
    <t>Key KPIs include GMV (RMB 7.8B, +69.6%), revenue (RMB 1.87B, +56.2%), products transacted (7.8M, +27.9%), LTM GMV (RMB 26B, +64.9%), LTM revenue (RMB 6.4B, +46.2%), and non-GAAP operating margin (-2.7%).</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</si>
  <si>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Q4 2021 Earnings Call</t>
    </r>
    <r>
      <rPr>
        <rFont val="Aptos Narrow"/>
        <color theme="1"/>
        <sz val="12.0"/>
      </rPr>
      <t xml:space="preserve">
</t>
    </r>
    <r>
      <rPr>
        <rFont val="Aptos Narrow"/>
        <color rgb="FF666666"/>
        <sz val="11.0"/>
      </rPr>
      <t>08 Jul 21 • Event Transcript</t>
    </r>
  </si>
  <si>
    <t>07/08/2021</t>
  </si>
  <si>
    <t>The company ISSUED guidance for fiscal 2022 with net sales growth of 16-21%, sales of £1.05-1.1 billion, adjusted EBITDA margin flat to +0.5%, and CapEx of £40-45 million.</t>
  </si>
  <si>
    <t>Major growth drivers include strong US performance (+38.5%), luxury watch growth (+16%), doubled online business, network expansion with new stores, and new mono-brand boutiques.</t>
  </si>
  <si>
    <t>The company faced COVID-related headwinds including store closures for 26 weeks, disrupted retail operations, loss of tourism, reduced airport traffic, and estimated £100 million in lost revenue.</t>
  </si>
  <si>
    <t>The UK had the most impact with £100 million in estimated losses due to 26-week store closures and reduced tourism, while the US still achieved strong growth despite traffic reductions.</t>
  </si>
  <si>
    <t>The US division had the most impact with 38.5% growth, followed by luxury watches which increased 16% and doubled online business growth.</t>
  </si>
  <si>
    <t>The most positive comments highlighted strong 13.3% growth despite COVID disruptions, 38.9% adjusted EBIT growth, team excellence, and strong momentum for fiscal 2022.</t>
  </si>
  <si>
    <t>The most negative comments included £100 million losses from disruptions, 26-week store closures, 12% decline in luxury jewelry, and adverse margin impacts from product mix.</t>
  </si>
  <si>
    <t>Key KPIs include ROCE (19.7%), adjusted EBIT (38.9% growth), free cash flow (£109.7M), 4-Wall EBITDA (18.3%), adjusted EBITDA (£105.4M), and free cash flow conversion (104%). LPD not specified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</si>
  <si>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Q2 2021 Earnings Call</t>
    </r>
    <r>
      <rPr>
        <rFont val="Aptos Narrow"/>
        <color theme="1"/>
        <sz val="12.0"/>
      </rPr>
      <t xml:space="preserve">
</t>
    </r>
    <r>
      <rPr>
        <rFont val="Aptos Narrow"/>
        <color rgb="FF666666"/>
        <sz val="11.0"/>
      </rPr>
      <t>17 Dec 20 • Event Transcript</t>
    </r>
  </si>
  <si>
    <t>12/17/2020</t>
  </si>
  <si>
    <t>The company UPGRADED guidance, expecting revenue between £900-925 million with EBITDA/EBIT margin improvement of 1.5-2 points from last year.</t>
  </si>
  <si>
    <t>Major growth drivers include online business growth (65% increase), luxury watch penetration (87.4% of sales), and mono-brand store expansion with plans to double store numbers.</t>
  </si>
  <si>
    <t>The company faces headwinds from COVID-19 pandemic including lockdowns, subdued international tourist business, reduced airport traffic, and lower shopping center footfall, resulting in £80 million revenue loss.</t>
  </si>
  <si>
    <t>The UK had the most impact with -7.4% sales decline, while the US showed positive 11% growth. London was particularly affected due to its high international tourist business.</t>
  </si>
  <si>
    <t>The US division had the most positive impact with 11% growth in H1 and 42% growth in Q2, while luxury watches drove product performance representing 87.4% of total sales.</t>
  </si>
  <si>
    <t>Management expressed strong satisfaction with H1 results, highlighting successful strategies, exceptional team performance, strong Q2 growth of 21.5%, improved profitability from 7.3% to 10%, and excellent cash performance.</t>
  </si>
  <si>
    <t>The most negative comments centered on COVID-19 impacts including £80 million revenue loss, Q1 sales down 27.6%, international business dropping from 33% to 7.5%, and reduced shopping center traffic.</t>
  </si>
  <si>
    <t>Key KPIs include return on capital employed (17.2%, up 140bps), free cash flow (improved £72m), 4-wall EBITDA, adjusted EBITDA (£52.2m, up 26.5%), and free cash flow conversion (222.6%). LPD not specified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</si>
  <si>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Q4 2019 Earnings Call</t>
    </r>
    <r>
      <rPr>
        <rFont val="Aptos Narrow"/>
        <color theme="1"/>
        <sz val="12.0"/>
      </rPr>
      <t xml:space="preserve">
</t>
    </r>
    <r>
      <rPr>
        <rFont val="Aptos Narrow"/>
        <color rgb="FF666666"/>
        <sz val="11.0"/>
      </rPr>
      <t>17 Jul 19 • Event Transcript</t>
    </r>
  </si>
  <si>
    <t>07/17/2019</t>
  </si>
  <si>
    <t>The company MAINTAINED guidance for mid-single-digit like-for-like growth in both UK and US, EBITDA margins in line with historical levels, tax rate around 20%, and objective to reach £1 billion in FY 2021.</t>
  </si>
  <si>
    <t>Major growth drivers include US market expansion, digital and social media capabilities, strategic capital investment in store upgrades, and strong brand relationships particularly with Rolex.</t>
  </si>
  <si>
    <t>The company faces headwinds from uncertain and difficult UK retail environment and supply constraints, particularly unprecedented low Rolex stock levels limiting growth potential.</t>
  </si>
  <si>
    <t>The UK had the most positive impact as the core market with strong 10% like-for-like sales growth, while the US represents the new expansion market.</t>
  </si>
  <si>
    <t>Luxury watches had the most impact, growing 12.8% and representing 82% of revenue, driving the company's overall growth.</t>
  </si>
  <si>
    <t>The most positive comments highlighted strong performance with 22.5% revenue growth, continued market leadership with 35% UK share, and successful IPO completion.</t>
  </si>
  <si>
    <t>The most negative comments concerned uncertain UK retail environment, unprecedented low Rolex stock levels, supply constraints, and slower than expected SoHo store performance.</t>
  </si>
  <si>
    <t>Key KPIs include like-for-like sales growth (10% UK), store profitability (15.2%), adjusted EBITDA margin (17.6%), capital expenditure (£34M), and CapEx payback period (2.2 years vs 2.5 year hurdle rate). LPD: Last Practical Date not specified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</si>
  <si>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Q4 2025 Earnings Call</t>
    </r>
    <r>
      <rPr>
        <rFont val="Aptos Narrow"/>
        <color theme="1"/>
        <sz val="12.0"/>
      </rPr>
      <t xml:space="preserve">
</t>
    </r>
    <r>
      <rPr>
        <rFont val="Aptos Narrow"/>
        <color rgb="FF666666"/>
        <sz val="11.0"/>
      </rPr>
      <t>03 Jul 25 • Event Transcript</t>
    </r>
  </si>
  <si>
    <t>The company ISSUED guidance for FY 2026 with revenue growth of 6-10% in constant currency, adjusted EBIT margin flat to down 100 basis points, and capital expenditure of £65-75 million.</t>
  </si>
  <si>
    <t>Major growth drivers include showroom investments and expansions, certified pre-owned programs, luxury branded jewelry through Roberto Coin, and e-commerce expansion in the US.</t>
  </si>
  <si>
    <t>The company faces headwinds from US tariffs of 10% on Swiss imports, leading to mid-single digit price increases and reduced distribution margins from brand partners.</t>
  </si>
  <si>
    <t>The US region had the most positive impact, driving sales growth with 16% constant currency growth and achieving over $1 billion in sales, representing 48% of the group.</t>
  </si>
  <si>
    <t>The US division had the most impact, achieving over $1 billion in sales and 16% growth, along with strong performance from Roberto Coin, Hodinkee acquisitions, and the Certified Pre-Owned programs.</t>
  </si>
  <si>
    <t>The most positive comments highlighted record sales of £1.652 billion, strong EBIT growth, the exceptional performance of the new Rolex boutique, and excitement about Roberto Coin and Hodinkee's success.</t>
  </si>
  <si>
    <t>The most negative comments focused on macroeconomic volatility, uncertainty around US tariffs impacting margins, and potential EBIT margin decline of up to 100 basis points due to brand partner margin changes.</t>
  </si>
  <si>
    <t>Key performance indicators include record sales of £1.652 billion (+8% constant currency), adjusted EBIT of £150 million (+12%), US sales exceeding $1 billion milestone, free cash flow of £98 million, return on capital employed of 19%, adjusted EBIT margin of 9.1% (+30 bps), and cash flow conversion of 51% (71% excluding one-off supplier payment changes).</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</si>
  <si>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Q1 2025 Earnings Call</t>
    </r>
    <r>
      <rPr>
        <rFont val="Aptos Narrow"/>
        <color theme="1"/>
        <sz val="12.0"/>
      </rPr>
      <t xml:space="preserve">
</t>
    </r>
    <r>
      <rPr>
        <rFont val="Aptos Narrow"/>
        <color rgb="FF666666"/>
        <sz val="11.0"/>
      </rPr>
      <t>20 May 25 • Event Transcript</t>
    </r>
  </si>
  <si>
    <t>The company issued guidance for Q2 2025 total revenues between RMB 4,710 million and RMB 4,801 million, representing a year-over-year increase of 24.7% to 27.4%.</t>
  </si>
  <si>
    <t>Major growth drivers include accelerated growth of 1P business, national subsidies for smartphones and digital products, strategic partnership with JD.com, and 1P2C revenue growth of 73.5% year-over-year.</t>
  </si>
  <si>
    <t>The company faced headwinds from Apple official trade-in business revenue declining year-over-year due to high base from early stage pricing strategies.</t>
  </si>
  <si>
    <t>Shenzhen was mentioned as having impact with the launch of the first offline flagship store in Huaqiangbei.</t>
  </si>
  <si>
    <t>The 1P business had the most impact, driving strong revenue growth with 28.8% year-over-year increase and 1P2C revenue growing 73.5% year-over-year.</t>
  </si>
  <si>
    <t>Management highlighted exceeding revenue guidance with 27.5% growth, non-GAAP operating income increasing 39.5%, and product revenue growing over 50% beyond expectations.</t>
  </si>
  <si>
    <t>The most negative comment was about Apple official trade-in business revenue declining year-over-year due to high base from early pricing strategies.</t>
  </si>
  <si>
    <t>Key KPIs include total net revenues (RMB 4,653.5M), non-GAAP operating margin (2.4%), registered merchants (1M+), active trading merchants (double-digit growth), and AHS stores (1,886).</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</si>
  <si>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Q4 2024 Earnings Call</t>
    </r>
    <r>
      <rPr>
        <rFont val="Aptos Narrow"/>
        <color theme="1"/>
        <sz val="12.0"/>
      </rPr>
      <t xml:space="preserve">
</t>
    </r>
    <r>
      <rPr>
        <rFont val="Aptos Narrow"/>
        <color rgb="FF666666"/>
        <sz val="11.0"/>
      </rPr>
      <t>11 Mar 25 • Event Transcript</t>
    </r>
  </si>
  <si>
    <t>The company ISSUED guidance for Q1 2025 total revenues between RMB 4,550-4,650 million, representing 24.6% to 27.4% year-over-year growth.</t>
  </si>
  <si>
    <t>Major growth drivers include China's national trade-in subsidies for consumer electronics, government support for equipment renewal, and the company's expanding fulfillment capabilities and brand building efforts.</t>
  </si>
  <si>
    <t>The company faced headwinds from loss-making overseas businesses that were closed and adjustments to Apple trade-in business operations that reduced scale.</t>
  </si>
  <si>
    <t>Overseas regions had negative impact due to loss-making businesses that were closed, resulting in down-sized overseas product revenue.</t>
  </si>
  <si>
    <t>Product revenues had the most impact, growing 26.6% year-over-year and driving the majority of total revenue growth.</t>
  </si>
  <si>
    <t>Management highlighted exceeding revenue and profit targets, achieving first GAAP operating income, and strong growth in non-GAAP operating income of 61-62.8% year-over-year.</t>
  </si>
  <si>
    <t>Management noted closing loss-making overseas businesses, downsizing overseas operations with negative margins, and certain business segments being in transition phases requiring strategic refinement.</t>
  </si>
  <si>
    <t>Key KPIs include total net revenues (25.9% growth), adjusted operating income (62.8% growth), operating profit margin (2.5%), transaction volume (35.3 million), retail revenue percentage (29%), and marketplace take rate (5.36%). LPD not mentioned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</si>
  <si>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Q2 2025 Earnings Call</t>
    </r>
    <r>
      <rPr>
        <rFont val="Aptos Narrow"/>
        <color theme="1"/>
        <sz val="12.0"/>
      </rPr>
      <t xml:space="preserve">
</t>
    </r>
    <r>
      <rPr>
        <rFont val="Aptos Narrow"/>
        <color rgb="FF666666"/>
        <sz val="11.0"/>
      </rPr>
      <t>05 Dec 24 • Event Transcript</t>
    </r>
  </si>
  <si>
    <t>The company MAINTAINED its previously announced full year guidance unchanged.</t>
  </si>
  <si>
    <t>Major growth drivers include Roberto Coin sales in the US, accelerated pre-owned growth (Rolex CPO and other brands), strong pipeline of major projects, and continued US expansion.</t>
  </si>
  <si>
    <t>The company faced margin pressure from adverse product mix due to higher pre-owned sales and deleverage of fixed costs.</t>
  </si>
  <si>
    <t>The US had the most positive impact with 45% of sales and 11% growth in H1, while the UK showed sequential improvement.</t>
  </si>
  <si>
    <t>Pre-owned watches (particularly Rolex Certified Pre-Owned) and Roberto Coin jewelry had the most significant positive impact, with pre-owned business growing over 50% in the first half.</t>
  </si>
  <si>
    <t>The most positive comments included encouragement about H1 results, strong holiday season start, unchanged guidance confirmation, successful Roberto Coin partnership, and certification as a great place to work.</t>
  </si>
  <si>
    <t>The most negative comments were about declining margins (60 basis points down), reduced EBIT margin (120 basis points down), 16% decline in adjusted EPS, and Q1 impact from stock builds.</t>
  </si>
  <si>
    <t>Key KPIs include sales growth (4% constant currency), regional performance (UK +2% Q2, US +11% H1), net margin (down 60bps), EBIT margin (8.4%), and leverage ratio (0.7x EBITDA). LPD not specified in document.</t>
  </si>
  <si>
    <r>
      <rPr>
        <rFont val="Aptos Narrow"/>
        <b/>
        <color theme="1"/>
        <sz val="11.0"/>
      </rPr>
      <t>BLNEWJAISA.IN</t>
    </r>
    <r>
      <rPr>
        <rFont val="Aptos Narrow"/>
        <color theme="1"/>
        <sz val="12.0"/>
      </rPr>
      <t xml:space="preserve"> </t>
    </r>
    <r>
      <rPr>
        <rFont val="Aptos Narrow"/>
        <color rgb="FF666666"/>
        <sz val="11.0"/>
      </rPr>
      <t>Newjaisa Technologies Ltd</t>
    </r>
    <r>
      <rPr>
        <rFont val="Aptos Narrow"/>
        <color theme="1"/>
        <sz val="12.0"/>
      </rPr>
      <t xml:space="preserve">
</t>
    </r>
    <r>
      <rPr>
        <rFont val="Aptos Narrow"/>
        <b/>
        <color theme="1"/>
        <sz val="11.0"/>
      </rPr>
      <t>Q2 2025 Earnings Call</t>
    </r>
    <r>
      <rPr>
        <rFont val="Aptos Narrow"/>
        <color theme="1"/>
        <sz val="12.0"/>
      </rPr>
      <t xml:space="preserve">
</t>
    </r>
    <r>
      <rPr>
        <rFont val="Aptos Narrow"/>
        <color rgb="FF666666"/>
        <sz val="11.0"/>
      </rPr>
      <t>20 Nov 24 • Event Transcript</t>
    </r>
  </si>
  <si>
    <t>Newjaisa Technologies Ltd.</t>
  </si>
  <si>
    <t>The company MAINTAINED guidance of 30% to 40% year-on-year growth for the next three to four years.</t>
  </si>
  <si>
    <t>Major growth drivers include channel diversification, engagement with colleges and universities, developing offline sales channels, building their own website, and increasing direct corporate procurement from 25% to 40%.</t>
  </si>
  <si>
    <t>The company faces increased competition from small-scale players on e-commerce platforms and immediate-term competitive pressures in their primary sales channels.</t>
  </si>
  <si>
    <t>The company focuses on India as their market, with specific mention of executing a large project in Himachal Pradesh.</t>
  </si>
  <si>
    <t>Desktop products had the most impact with increased sales mix, while MacBooks were introduced as a new high-margin product line.</t>
  </si>
  <si>
    <t>The most positive comments highlighted strong Diwali sales performance, 100% website growth, 3x user acquisition growth, and successful brand recognition efforts.</t>
  </si>
  <si>
    <t>The most negative comments focused on increased competition from smaller players on e-commerce platforms and operational productivity issues during ERP upgrades and facility transitions.</t>
  </si>
  <si>
    <t>Key KPIs include revenue (INR 32 crore H1), unit sales (25,350 units), ASP (INR 13,500 laptops, INR 19,900 desktops), gross margins, user acquisition (3x growth), and channel diversification metrics. LPD not mentioned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</si>
  <si>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Q3 2024 Earnings Call</t>
    </r>
    <r>
      <rPr>
        <rFont val="Aptos Narrow"/>
        <color theme="1"/>
        <sz val="12.0"/>
      </rPr>
      <t xml:space="preserve">
</t>
    </r>
    <r>
      <rPr>
        <rFont val="Aptos Narrow"/>
        <color rgb="FF666666"/>
        <sz val="11.0"/>
      </rPr>
      <t>20 Nov 24 • Event Transcript</t>
    </r>
  </si>
  <si>
    <t>The company ISSUED guidance for Q4 2024 total revenues between RMB 4,740-4,840 million, representing 22.4% to 24.9% year-over-year growth.</t>
  </si>
  <si>
    <t>Major growth drivers include core recycling business growth over 30%, trade-in services doubling year-over-year, multi-category recycling business growing 270%, and strong direct-to-consumer sales growth.</t>
  </si>
  <si>
    <t>The company faces headwinds from slowing consumer spending and smartphones not yet receiving direct trade-in subsidies.</t>
  </si>
  <si>
    <t>Mainland China had the most impact with core recycling business revenue increasing over 30% year-over-year.</t>
  </si>
  <si>
    <t>The core recycling business in Mainland China and trade-in services had the most impact, with recycling revenue growing over 30% year-over-year and trade-in services doubling year-over-year.</t>
  </si>
  <si>
    <t>The most positive comments highlighted achieving first quarterly GAAP operating profit, substantial 40.9% increase in non-GAAP operating income, and strong growth in trade-in services with 246% year-over-year increase during Singles' Day promotion.</t>
  </si>
  <si>
    <t>The most negative comments mentioned slowing consumer spending and a drop in total cash balance compared to the second quarter, though cash position remained strong.</t>
  </si>
  <si>
    <t>Key KPIs include total revenue (RMB 4.05B, +24.4% YoY), product revenue (+25.6%), service revenue (+13.9%), non-GAAP operating margin (2.6%), gross margin (20%), store count (1,637), and marketplace take rate (5.34%). LPD not specified in document.</t>
  </si>
  <si>
    <r>
      <rPr>
        <rFont val="Aptos Narrow"/>
        <b/>
        <color theme="1"/>
        <sz val="11.0"/>
      </rPr>
      <t>540205.IN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Q2 2025 Earnings Call</t>
    </r>
    <r>
      <rPr>
        <rFont val="Aptos Narrow"/>
        <color theme="1"/>
        <sz val="12.0"/>
      </rPr>
      <t xml:space="preserve">
</t>
    </r>
    <r>
      <rPr>
        <rFont val="Aptos Narrow"/>
        <color rgb="FF666666"/>
        <sz val="11.0"/>
      </rPr>
      <t>12 Nov 24 • Event Transcript</t>
    </r>
  </si>
  <si>
    <t>11/12/2024</t>
  </si>
  <si>
    <t>The company MAINTAINED guidance to add 25-30 stores in current financial year and target 200 stores by FY 2026.</t>
  </si>
  <si>
    <t>Major growth drivers include store expansion (adding 25-30 stores annually), strong same-store sales growth of 17%, and geographic expansion into new markets like Central UP.</t>
  </si>
  <si>
    <t>The company faces seasonal headwinds from monsoons and shradh period in Q2, heavy rainfall and flooding in Northern Bihar and UP, and overall consumer demand slowdown.</t>
  </si>
  <si>
    <t>Northern Bihar and UP had the most impact due to heavy rainfall and flooding, though Bihar remains the largest revenue contributor at 82%.</t>
  </si>
  <si>
    <t>Large appliances had the most impact, contributing 65% of revenue in H1 FY 2025, with air conditioners performing particularly well followed by refrigerators and washing machines.</t>
  </si>
  <si>
    <t>The most positive comments highlighted strong financial performance with 32.51% revenue growth, 38.77% PAT growth, successful UP operations, and significant market share capture of 50% in Bihar and 15% in Jharkhand.</t>
  </si>
  <si>
    <t>The most negative comments mentioned modest Q2 sales due to heavy rainfall and flooding, seasonal weakness during monsoon period, ASP decline of 1.3% due to price drops, and overall market slowdown affecting growth potential.</t>
  </si>
  <si>
    <t>Key performance indicators include revenue growth (32.51% in H1 FY2025), EBITDA margins (9.11% in H1), PAT growth (38.77% in H1), same-store sales growth (17% in H1), store expansion (11 stores added in H1), inventory levels (INR 439 crore), and market share (50% in Bihar, 15% in Jharkhand). LPD information not found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</si>
  <si>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Q2 2024 Earnings Call</t>
    </r>
    <r>
      <rPr>
        <rFont val="Aptos Narrow"/>
        <color theme="1"/>
        <sz val="12.0"/>
      </rPr>
      <t xml:space="preserve">
</t>
    </r>
    <r>
      <rPr>
        <rFont val="Aptos Narrow"/>
        <color rgb="FF666666"/>
        <sz val="11.0"/>
      </rPr>
      <t>20 Aug 24 • Event Transcript</t>
    </r>
  </si>
  <si>
    <t>08/20/2024</t>
  </si>
  <si>
    <t>The company ISSUED guidance for Q3 2024 total revenues between RMB 3,970-4,070 million, representing 21.9% to 25% year-over-year growth.</t>
  </si>
  <si>
    <t>Major growth drivers include product revenue growth of 29%, core recycling business order volume growth of 27.8%, and multi-category recycling GMV growth of nearly 400%.</t>
  </si>
  <si>
    <t>The company faces headwinds from consumers being more prudent with spending.</t>
  </si>
  <si>
    <t>Shenzhen had significant impact with recycling volumes increasing significantly and successful recycling transactions increasing 2.5 times in July compared to June.</t>
  </si>
  <si>
    <t>Product revenue from self-operated consumer electronics recycling business had the most impact, growing 29% year-over-year to RMB 3.4 billion and serving as the main growth driver.</t>
  </si>
  <si>
    <t>The most positive comments highlighted solid growth exceeding guidance, turning Apple trade-in business gross margin positive, and achieving 81% increase in non-GAAP operating income with another profitable quarter.</t>
  </si>
  <si>
    <t>The most negative comments mentioned consumers being more prudent with spending and group-level gross margin slightly dropping to 20.8%.</t>
  </si>
  <si>
    <t>Key KPIs include total revenue growth (27.4%), product revenue growth (29%), order volume growth (27.8%), platform revenue growth (14.6%), non-GAAP operating margin (2.5%), gross margin (12.1%), and store count (1,516 stores).</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</si>
  <si>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Q4 2024 Earnings Call</t>
    </r>
    <r>
      <rPr>
        <rFont val="Aptos Narrow"/>
        <color theme="1"/>
        <sz val="12.0"/>
      </rPr>
      <t xml:space="preserve">
</t>
    </r>
    <r>
      <rPr>
        <rFont val="Aptos Narrow"/>
        <color rgb="FF666666"/>
        <sz val="11.0"/>
      </rPr>
      <t>27 Jun 24 • Event Transcript</t>
    </r>
  </si>
  <si>
    <t>06/27/2024</t>
  </si>
  <si>
    <t>The company MAINTAINED its FY 2025 guidance with sales expected between £1.67-1.73 billion (9-12% growth), EBIT margin expansion of 0.2-0.6%, and CONFIRMED its FY 2028 target of doubling sales.</t>
  </si>
  <si>
    <t>Major growth drivers include showroom investments, luxury jewelry expansion through Roberto Coin, pre-owned category growth including Rolex CPO, US e-commerce development, and acquisitions/new projects in the US market.</t>
  </si>
  <si>
    <t>The company faces headwinds from cumulative brand price increases creating affordability gaps, loss of UK tourist business due to VAT-free shopping removal, and US election year instability affecting consumer spending.</t>
  </si>
  <si>
    <t>The UK had the most significant impact from price increases and loss of tourist business, while the US drove growth with 11% constant currency increase.</t>
  </si>
  <si>
    <t>The US division had the most impact, growing to 45% of group sales with 11% constant currency growth, while pre-owned (particularly Rolex CPO) and luxury jewelry expansion through Roberto Coin also significantly contributed.</t>
  </si>
  <si>
    <t>The most positive comments centered on Roberto Coin acquisition prospects, pre-owned business exceeding expectations, fantastic showroom expansion programs, confirmed guidance targets, and excellent consumer response to premium products.</t>
  </si>
  <si>
    <t>The most negative comments highlighted UK price increases creating affordability gaps, declining EBIT margins by 190 basis points, significantly higher tax rates, and luxury jewelry market suffering despite some bright spots.</t>
  </si>
  <si>
    <t>Key KPIs include sales (£1.538bn), adjusted EBIT (£135m), free cash flow conversion (66%), ROCE (19.5%), and EBIT margin (8.8%). LRP targets doubling sales and EBIT over five years to 2028.</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</si>
  <si>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Q1 2024 Earnings Call</t>
    </r>
    <r>
      <rPr>
        <rFont val="Aptos Narrow"/>
        <color theme="1"/>
        <sz val="12.0"/>
      </rPr>
      <t xml:space="preserve">
</t>
    </r>
    <r>
      <rPr>
        <rFont val="Aptos Narrow"/>
        <color rgb="FF666666"/>
        <sz val="11.0"/>
      </rPr>
      <t>20 May 24 • Event Transcript</t>
    </r>
  </si>
  <si>
    <t>05/20/2024</t>
  </si>
  <si>
    <t>The company ISSUED guidance for Q2 2024 total revenues between $3,670-$3,770 million, representing 23.8% to 27.2% year-over-year growth.</t>
  </si>
  <si>
    <t>Major growth drivers include 1P business (28.5% growth), JD.com partnership momentum, and multi-category recycling business which quadrupled year-over-year to RMB 600 million.</t>
  </si>
  <si>
    <t>The company faced headwinds from Apple's unique pricing mechanism and market factors that negatively impacted gross profit margin in Q4 2023.</t>
  </si>
  <si>
    <t>First and second tier cities and major cities in China had the most impact for store operations and Apple's customer base.</t>
  </si>
  <si>
    <t>The 1P business had the most impact as the primary growth driver, with net product revenues increasing 28.5% year-over-year to RMB 3.31 billion.</t>
  </si>
  <si>
    <t>Management highlighted strong revenue growth of 27.1% reaching guidance high-end, meaningful operating margin improvements, and significant 80.6% increase in non-GAAP operating income.</t>
  </si>
  <si>
    <t>The most negative comments related to Apple's pricing mechanism negatively impacting gross profit margin and stock investment losses causing other losses below operating income.</t>
  </si>
  <si>
    <t>Key KPIs include total revenue growth (27.1%), non-GAAP operating margin (2.2%), net product revenue growth (28.5%), service revenue growth (15.1%), marketplace take rate (5.41%), and gross margin (19.3%). LPD not mentioned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</si>
  <si>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Q4 2023 Earnings Call</t>
    </r>
    <r>
      <rPr>
        <rFont val="Aptos Narrow"/>
        <color theme="1"/>
        <sz val="12.0"/>
      </rPr>
      <t xml:space="preserve">
</t>
    </r>
    <r>
      <rPr>
        <rFont val="Aptos Narrow"/>
        <color rgb="FF666666"/>
        <sz val="11.0"/>
      </rPr>
      <t>12 Mar 24 • Event Transcript</t>
    </r>
  </si>
  <si>
    <t>03/12/2024</t>
  </si>
  <si>
    <t>The company ISSUED guidance for Q1 2024 total revenues between RMB 3,550-3,650 million, representing 23.6% to 27.1% year-over-year growth.</t>
  </si>
  <si>
    <t>Major growth drivers include increased sales of pre-owned consumer electronics, collaboration with Apple for recycling and trade-in services, and partnerships with JD for trade-in services.</t>
  </si>
  <si>
    <t>The company faces challenges from Huawei competition affecting iPhone 15 series and gross margin compression from aggressive pricing strategies.</t>
  </si>
  <si>
    <t>Big cities in China had the most impact, showing improved recycling rates and increased consumer awareness of the AHS Recycle brand.</t>
  </si>
  <si>
    <t>The 1P (self-operated) business and Apple collaboration had the most impact, with 1P transaction volume increasing 50% year-over-year and Apple contributing RMB 300 million in Q4 revenues.</t>
  </si>
  <si>
    <t>The most positive comments highlighted record-breaking revenues and profits, exceeding operating profit targets, winning Reuters Global Business Responsibility Awards, and receiving spontaneous user praise on social media.</t>
  </si>
  <si>
    <t>The most negative comments concerned gross margin compression from aggressive pricing strategies for Apple trade-in services and iPhone 15 facing competitive challenges from Huawei.</t>
  </si>
  <si>
    <t>Key KPIs include total revenues (RMB 13B, +31.4%), transaction volume (32.3M units), 1P transaction volume (+50%), platform take rate (5.39%, +92bps), non-GAAP operating profit margin (1.9%), and registered merchants (596K, +46.2%). LPD not mentioned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</si>
  <si>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Q2 2024 Earnings Call</t>
    </r>
    <r>
      <rPr>
        <rFont val="Aptos Narrow"/>
        <color theme="1"/>
        <sz val="12.0"/>
      </rPr>
      <t xml:space="preserve">
</t>
    </r>
    <r>
      <rPr>
        <rFont val="Aptos Narrow"/>
        <color rgb="FF666666"/>
        <sz val="11.0"/>
      </rPr>
      <t>07 Dec 23 • Event Transcript</t>
    </r>
  </si>
  <si>
    <t>12/07/2023</t>
  </si>
  <si>
    <t>The company REITERATED guidance from their Q2 trading update and maintained full year capital spend guidance of £80 million.</t>
  </si>
  <si>
    <t>Major growth drivers include showroom investment, pre-owned market expansion, branded luxury jewelry, and online growth opportunities.</t>
  </si>
  <si>
    <t>The company faces challenging economic environment, loss of VAT-free shopping post-Brexit impacting international sales, and weakened UK consumer sentiment affecting jewelry sales.</t>
  </si>
  <si>
    <t>The US had the most positive impact with 11% revenue growth, while UK and Europe declined 4% due to supply timing and Brexit-related VAT changes.</t>
  </si>
  <si>
    <t>The US business had the most impact with 11% revenue growth at constant currency, now representing 43% of group total sales, along with luxury watches driving overall growth.</t>
  </si>
  <si>
    <t>Management expressed strong satisfaction with US performance, successful flagship stores in New York, the American Dream store performance, and the successful launch of Rolex Certified Pre-Owned.</t>
  </si>
  <si>
    <t>The most negative comments related to declining EBITDA (8% down), reduced EBIT margins (down 170 bps), UK/Europe sales decline (4%), and e-commerce sales decrease (3%).</t>
  </si>
  <si>
    <t>Key KPIs include revenue growth (2% constant currency), EBITDA (£94m), EBIT margin (9.6%), cash conversion (60%), domestic client sales (95%), and the LRP targeting doubled sales/profits by FY2028.</t>
  </si>
  <si>
    <r>
      <rPr>
        <rFont val="Aptos Narrow"/>
        <b/>
        <color theme="1"/>
        <sz val="11.0"/>
      </rPr>
      <t>BLNEWJAISA.IN</t>
    </r>
    <r>
      <rPr>
        <rFont val="Aptos Narrow"/>
        <color theme="1"/>
        <sz val="12.0"/>
      </rPr>
      <t xml:space="preserve"> </t>
    </r>
    <r>
      <rPr>
        <rFont val="Aptos Narrow"/>
        <color rgb="FF666666"/>
        <sz val="11.0"/>
      </rPr>
      <t>Newjaisa Technologies Ltd</t>
    </r>
    <r>
      <rPr>
        <rFont val="Aptos Narrow"/>
        <color theme="1"/>
        <sz val="12.0"/>
      </rPr>
      <t xml:space="preserve">
</t>
    </r>
    <r>
      <rPr>
        <rFont val="Aptos Narrow"/>
        <b/>
        <color theme="1"/>
        <sz val="11.0"/>
      </rPr>
      <t>Q2 2024 Earnings Call</t>
    </r>
    <r>
      <rPr>
        <rFont val="Aptos Narrow"/>
        <color theme="1"/>
        <sz val="12.0"/>
      </rPr>
      <t xml:space="preserve">
</t>
    </r>
    <r>
      <rPr>
        <rFont val="Aptos Narrow"/>
        <color rgb="FF666666"/>
        <sz val="11.0"/>
      </rPr>
      <t>24 Nov 23 • Event Transcript</t>
    </r>
  </si>
  <si>
    <t>11/24/2023</t>
  </si>
  <si>
    <t>The company does not provide forward-looking guidance as a policy.</t>
  </si>
  <si>
    <t>Major growth drivers include huge uptick in market demand and COVID-led increase in work from home culture driving demand for refurbished products.</t>
  </si>
  <si>
    <t>The company faces government regulation challenges for importing used assets into India and operates an asset-heavy business model.</t>
  </si>
  <si>
    <t>South region has the most impact, contributing approximately 35% of overall demand, while East region has the lowest contribution.</t>
  </si>
  <si>
    <t>The refurbished IT electronics business had the most impact with 86% top line growth, 92% gross margin improvement, and 39% net profit rise in H1 FY 2024.</t>
  </si>
  <si>
    <t>Participants praised the fantastic performance, commended building a INR 50 crores business in three years, and congratulated the team on their entrepreneurial journey and new facility.</t>
  </si>
  <si>
    <t>A participant raised concerns about legal issues and complaints reported in the press before the IPO, which management addressed as sub-judice matters.</t>
  </si>
  <si>
    <t>Key KPIs include 86% revenue growth, 92% gross margin improvement, EBITDA of INR 4.06 crores, net profit of INR 2.90 crores, EPS of INR 2.45, 75,000+ units sold, and employee base growth from 250 to 555.</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</si>
  <si>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Q3 2023 Earnings Call</t>
    </r>
    <r>
      <rPr>
        <rFont val="Aptos Narrow"/>
        <color theme="1"/>
        <sz val="12.0"/>
      </rPr>
      <t xml:space="preserve">
</t>
    </r>
    <r>
      <rPr>
        <rFont val="Aptos Narrow"/>
        <color rgb="FF666666"/>
        <sz val="11.0"/>
      </rPr>
      <t>22 Nov 23 • Event Transcript</t>
    </r>
  </si>
  <si>
    <t>11/22/2023</t>
  </si>
  <si>
    <t>The company ISSUED guidance for Q4 2023 total revenues between RMB 3,730-3,830 million, representing 25.1% to 28.5% year-over-year growth.</t>
  </si>
  <si>
    <t>Major growth drivers include 1P business development, Apple's official trade-in program inclusion, increased pre-owned consumer electronics sales, and compliant refurbished business contributing RMB 200 million in revenue.</t>
  </si>
  <si>
    <t>Beijing and Shanghai had the most impact, both exceeding RMB 100 million in monthly recycling values in October.</t>
  </si>
  <si>
    <t>The 1P business had the most impact, with revenue growing 31.4% year-over-year to RMB 2.92 billion, driven primarily by refurbished device sales.</t>
  </si>
  <si>
    <t>Management highlighted exceeding expectations in revenue and profit, achieving record-high adjusted operating margin of 2.3%, and surpassing guidance with strong growth.</t>
  </si>
  <si>
    <t>The most negative comments related to declining gross profit margins due to strategic revenue mix shifts and lower margins from procuring devices from industry partners.</t>
  </si>
  <si>
    <t>Key KPIs include total revenue growth (28.4% YoY), adjusted operating margin (2.3%), 1P business revenue growth (31.4% YoY), 3P take rate (5.4%), and active user growth (15.4% YoY). LPD information not found in document.</t>
  </si>
  <si>
    <r>
      <rPr>
        <rFont val="Aptos Narrow"/>
        <b/>
        <color theme="1"/>
        <sz val="11.0"/>
      </rPr>
      <t>540205.IN</t>
    </r>
    <r>
      <rPr>
        <rFont val="Aptos Narrow"/>
        <color theme="1"/>
        <sz val="12.0"/>
      </rPr>
      <t xml:space="preserve"> </t>
    </r>
    <r>
      <rPr>
        <rFont val="Aptos Narrow"/>
        <color rgb="FF666666"/>
        <sz val="11.0"/>
      </rPr>
      <t>Aditya Vision Ltd</t>
    </r>
    <r>
      <rPr>
        <rFont val="Aptos Narrow"/>
        <color theme="1"/>
        <sz val="12.0"/>
      </rPr>
      <t xml:space="preserve">
</t>
    </r>
    <r>
      <rPr>
        <rFont val="Aptos Narrow"/>
        <b/>
        <color theme="1"/>
        <sz val="11.0"/>
      </rPr>
      <t>Q2 2024 Earnings Call</t>
    </r>
    <r>
      <rPr>
        <rFont val="Aptos Narrow"/>
        <color theme="1"/>
        <sz val="12.0"/>
      </rPr>
      <t xml:space="preserve">
</t>
    </r>
    <r>
      <rPr>
        <rFont val="Aptos Narrow"/>
        <color rgb="FF666666"/>
        <sz val="11.0"/>
      </rPr>
      <t>03 Nov 23 • Event Transcript</t>
    </r>
  </si>
  <si>
    <t>11/03/2023</t>
  </si>
  <si>
    <t>The company INCREASED its store opening guidance to 140-145 stores for FY 2024 from initial guidance of 125 stores, and UPDATED guidance to 260-265 stores by FY 2025 from 150 stores.</t>
  </si>
  <si>
    <t>Major growth drivers include aggressive store expansion, strong same-store sales growth, competitive pricing, outstanding customer service, prompt delivery and installation, and successful marketing events.</t>
  </si>
  <si>
    <t>The company faces seasonal headwinds with Q2 being the weakest quarter due to monsoons, delayed festive season timing, and higher operating expenses from rapid store expansion with 30% of stores being less than six months old.</t>
  </si>
  <si>
    <t>Bihar had the most impact, contributing 88% of revenues in H1 FY 2024, followed by Jharkhand and UP contributing 10% and 3% respectively.</t>
  </si>
  <si>
    <t>Store expansion and AC segment growth had the most impact, with 25 new stores added in H1 and AC sales growing 32%.</t>
  </si>
  <si>
    <t>Management highlighted strong H1 performance with 37% revenue growth, CRISIL rating upgrade, and robust festive demand.</t>
  </si>
  <si>
    <t>Higher operating expenses from rapid store expansion impacted EBITDA growth, and Q2 remained the weakest quarter due to monsoon seasonality.</t>
  </si>
  <si>
    <t>Key performance indicators include revenue growth (37% in H1 FY2024), SSSG of 19%, EBITDA margins (9% in H1), PAT growth (24% Y-o-Y), store count expansion (130 stores with 25 added in H1), inventory turnover (65 days), and geographic revenue distribution (88% Bihar, 10% Jharkhand, 3% UP). LPD information is not available in the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</si>
  <si>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Q2 2023 Earnings Call</t>
    </r>
    <r>
      <rPr>
        <rFont val="Aptos Narrow"/>
        <color theme="1"/>
        <sz val="12.0"/>
      </rPr>
      <t xml:space="preserve">
</t>
    </r>
    <r>
      <rPr>
        <rFont val="Aptos Narrow"/>
        <color rgb="FF666666"/>
        <sz val="11.0"/>
      </rPr>
      <t>23 Aug 23 • Event Transcript</t>
    </r>
  </si>
  <si>
    <t>08/23/2023</t>
  </si>
  <si>
    <t>The company ISSUED guidance for Q3 2023 total revenues between RMB 3,150 million and RMB 3,250 million.</t>
  </si>
  <si>
    <t>Major growth drivers include the continuing trend for selling old for new and buying pre-owned products, scaling sales of refurbished products, and significant improvements in store fronts and JD recycling channels.</t>
  </si>
  <si>
    <t>South China had notable impact with capabilities being replicated from Dongguan operation center to other regional markets including Changzhou, Wuhan, Chengdu and Tianjin.</t>
  </si>
  <si>
    <t>The 1P recycling business had the most impact, with 42.2% year-over-year growth, driven by RERE Refurbed devices and JD channel recovery.</t>
  </si>
  <si>
    <t>The most positive comments highlighted record revenue growth of 38.1%, achieving profitability with 1.8% operating margin, and becoming Apple's second official trade-in partner in China.</t>
  </si>
  <si>
    <t>Key KPIs include total revenue (RMB 2,960M, +38.1%), 1P revenue (+42.2%), platform revenue (+12.1%), take rate (5.37%), operating margin (1.8%), fulfillment expense ratio (8.8%), and GMV (&gt;RMB 200M). LPD not specified.</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</si>
  <si>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Q4 2023 Earnings Call</t>
    </r>
    <r>
      <rPr>
        <rFont val="Aptos Narrow"/>
        <color theme="1"/>
        <sz val="12.0"/>
      </rPr>
      <t xml:space="preserve">
</t>
    </r>
    <r>
      <rPr>
        <rFont val="Aptos Narrow"/>
        <color rgb="FF666666"/>
        <sz val="11.0"/>
      </rPr>
      <t>13 Jul 23 • Event Transcript</t>
    </r>
  </si>
  <si>
    <t>07/13/2023</t>
  </si>
  <si>
    <t>The company MAINTAINED its FY 2024 guidance with sales expected between £1.65-1.7 billion (8-11% growth in constant currency) and adjusted EBIT margin in line with FY 2023.</t>
  </si>
  <si>
    <t>Major growth drivers include showroom expansion (28 new, 13 upgraded), luxury watches with higher average selling prices, pricing increases contributing 9% growth, and pre-owned business doubling sales year-over-year.</t>
  </si>
  <si>
    <t>The company faces margin pressure from product mix shifts, increased costs of interest-free credit due to rising interest rates, and inflationary pressures on the cost base.</t>
  </si>
  <si>
    <t>The US had the most impact, growing from 24% to 42% of sales and increasing revenue from $100 million to nearly $800 million in five years.</t>
  </si>
  <si>
    <t>Luxury watches had the most impact, driving record sales growth, with the US division growing from 24% to 42% of total sales and pre-owned businesses nearly doubling sales.</t>
  </si>
  <si>
    <t>The most positive comments highlighted record sales and profits, excellent returns on capital employed at 27.9%, being ahead of the Long Range Plan, and achieving an AAA ESG rating from MSCI.</t>
  </si>
  <si>
    <t>The most negative comments mentioned declining net margin by 60 basis points, adverse impact from higher interest-free credit costs, and increased effective tax rate to 21.4%.</t>
  </si>
  <si>
    <t>Key KPIs include sales (£1.543 billion), EBIT (£165 million), ROCE (27.9%), free cash flow (£146 million), cash conversion (72%), EBIT margin (10.7%), and e-commerce percentage (6%). LPD not specified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</si>
  <si>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Q1 2023 Earnings Call</t>
    </r>
    <r>
      <rPr>
        <rFont val="Aptos Narrow"/>
        <color theme="1"/>
        <sz val="12.0"/>
      </rPr>
      <t xml:space="preserve">
</t>
    </r>
    <r>
      <rPr>
        <rFont val="Aptos Narrow"/>
        <color rgb="FF666666"/>
        <sz val="11.0"/>
      </rPr>
      <t>23 May 23 • Event Transcript</t>
    </r>
  </si>
  <si>
    <t>05/23/2023</t>
  </si>
  <si>
    <t>The company ISSUED guidance for Q2 2023 total revenues between RMB 2,850-2,950 million and expects to IMPROVE non-GAAP operating margins in coming years.</t>
  </si>
  <si>
    <t>The three major growth drivers are: 1P business growth momentum, escalating new category recycling business, and continued improvement in operational efficiency through automated quality inspection technology upgrades.</t>
  </si>
  <si>
    <t>The company faces headwinds from decreasing new device shipments, though their Apple-focused recycling business remains relatively less affected.</t>
  </si>
  <si>
    <t>East China and South China regions had the most impact, with key stores in Shanghai, Beijing, Guangzhou, Hangzhou, and Chongqing driving new category recycling business.</t>
  </si>
  <si>
    <t>The 1P product business had the most impact, driving 34.9% revenue growth to RMB 2,575 million and serving as the core organic growth driver.</t>
  </si>
  <si>
    <t>Management highlighted record-breaking performance with revenue exceeding guidance, achieving new record non-GAAP operating income, and delivering profitable results during the industry's off-season.</t>
  </si>
  <si>
    <t>Management noted reduced investments in low monetization rate businesses and lessened consignment business due to strategic pivots.</t>
  </si>
  <si>
    <t>Key KPIs include revenue growth (30.2% YoY), operating margin (1.5%), order volume growth (42% YoY), take rate (5.46%), registered users (447,000), and new category GMV (RMB 70M monthly). LPD information not found in document.</t>
  </si>
  <si>
    <r>
      <rPr>
        <rFont val="Aptos Narrow"/>
        <b/>
        <color theme="1"/>
        <sz val="11.0"/>
      </rPr>
      <t>RERE</t>
    </r>
    <r>
      <rPr>
        <rFont val="Aptos Narrow"/>
        <color theme="1"/>
        <sz val="12.0"/>
      </rPr>
      <t xml:space="preserve"> </t>
    </r>
    <r>
      <rPr>
        <rFont val="Aptos Narrow"/>
        <color rgb="FF666666"/>
        <sz val="11.0"/>
      </rPr>
      <t>ATRenew Inc</t>
    </r>
    <r>
      <rPr>
        <rFont val="Aptos Narrow"/>
        <color theme="1"/>
        <sz val="12.0"/>
      </rPr>
      <t xml:space="preserve">
</t>
    </r>
    <r>
      <rPr>
        <rFont val="Aptos Narrow"/>
        <b/>
        <color theme="1"/>
        <sz val="11.0"/>
      </rPr>
      <t>Q4 2022 Earnings Call</t>
    </r>
    <r>
      <rPr>
        <rFont val="Aptos Narrow"/>
        <color theme="1"/>
        <sz val="12.0"/>
      </rPr>
      <t xml:space="preserve">
</t>
    </r>
    <r>
      <rPr>
        <rFont val="Aptos Narrow"/>
        <color rgb="FF666666"/>
        <sz val="11.0"/>
      </rPr>
      <t>13 Mar 23 • Event Transcript</t>
    </r>
  </si>
  <si>
    <t>03/13/2023</t>
  </si>
  <si>
    <t>The company ISSUED guidance for Q1 2023 total revenues between RMB 2,770-2,870 million and expects full year non-GAAP operating income for 2023.</t>
  </si>
  <si>
    <t>Major growth drivers include 1P business growth (30.4% in 2022), compliant refurbishment capabilities for higher margins, and brand expansion across new smartphone categories.</t>
  </si>
  <si>
    <t>The company faces headwinds from COVID infections surge impacting operations in Beijing and Shanghai, and iPhone 14 production shortfalls affecting trading business.</t>
  </si>
  <si>
    <t>Beijing and Shanghai had the most impact as they contributed a significant proportion of the business.</t>
  </si>
  <si>
    <t>The 1P business had the most impact, growing 30.4% in 2022 and driving the majority of revenue growth through increased sales of pre-owned consumer electronics.</t>
  </si>
  <si>
    <t>Management highlighted record-high quarterly revenue of RMB 2.98 billion, achieving non-GAAP operating profitability, and expressing strong confidence in future profitability with RMB 2.8 billion cash position.</t>
  </si>
  <si>
    <t>Management cited COVID-19 surge in December as a severe challenge, iPhone 14 supply shortages negatively affecting trading business, and decreased service revenues from reduced consignment business.</t>
  </si>
  <si>
    <t>Key KPIs include total net revenue growth (22.4%), non-GAAP operating margin (1.2%), marketplace commission rate (4.8%), fulfillment expense ratio (10.9%), and gross margin (20.5%). LPD not mentioned in document.</t>
  </si>
  <si>
    <r>
      <rPr>
        <rFont val="Aptos Narrow"/>
        <b/>
        <color theme="1"/>
        <sz val="11.0"/>
      </rPr>
      <t>WOSG.GB</t>
    </r>
    <r>
      <rPr>
        <rFont val="Aptos Narrow"/>
        <color theme="1"/>
        <sz val="12.0"/>
      </rPr>
      <t xml:space="preserve"> </t>
    </r>
    <r>
      <rPr>
        <rFont val="Aptos Narrow"/>
        <color rgb="FF666666"/>
        <sz val="11.0"/>
      </rPr>
      <t>Watches of Switzerland Group PLC</t>
    </r>
    <r>
      <rPr>
        <rFont val="Aptos Narrow"/>
        <color theme="1"/>
        <sz val="12.0"/>
      </rPr>
      <t xml:space="preserve">
</t>
    </r>
    <r>
      <rPr>
        <rFont val="Aptos Narrow"/>
        <b/>
        <color theme="1"/>
        <sz val="11.0"/>
      </rPr>
      <t>Q2 2023 Earnings Call</t>
    </r>
    <r>
      <rPr>
        <rFont val="Aptos Narrow"/>
        <color theme="1"/>
        <sz val="12.0"/>
      </rPr>
      <t xml:space="preserve">
</t>
    </r>
    <r>
      <rPr>
        <rFont val="Aptos Narrow"/>
        <color rgb="FF666666"/>
        <sz val="11.0"/>
      </rPr>
      <t>14 Dec 22 • Event Transcript</t>
    </r>
  </si>
  <si>
    <t>12/14/2022</t>
  </si>
  <si>
    <t>The company REITERATED and MAINTAINED guidance for EBITDA margin expansion of 0 to 50 basis points and CapEx range of £70-80 million.</t>
  </si>
  <si>
    <t>Major growth drivers include market share gains, investment-led expansion across UK/US/Europe, the Xenia client experience program, and showroom development with 188 locations.</t>
  </si>
  <si>
    <t>The company faces headwinds from lapping prior year business rates relief, inflationary pressure on people costs and IT, and increasing tax rates due to US geographic mix.</t>
  </si>
  <si>
    <t>The UK had more impact than the US, with the US handling high inflation better than the UK.</t>
  </si>
  <si>
    <t>The US business had the most impact with 60% growth on constant currency basis, now representing 41% of group sales compared to 29% last year.</t>
  </si>
  <si>
    <t>Most positive comments included strong first half performance with market share gains, significant improvement in client consultation scores from 65% to 95%, and high colleague engagement at 86%.</t>
  </si>
  <si>
    <t>Most negative comments included EBIT margin declining 20 basis points, potential impact on jewelry category from consumer sentiment, and UK facing more economic challenges than the US.</t>
  </si>
  <si>
    <t>Key KPIs include revenue growth (31% reported, 23% constant currency), adjusted EBIT growth (29% to £87m), return on capital employed (27.6%), client consultation scores (95%), colleague engagement (86%), and adjusted EPS growth (28%).</t>
  </si>
  <si>
    <t>Recent Funding Rounds</t>
  </si>
  <si>
    <t>Round</t>
  </si>
  <si>
    <t>Valuation</t>
  </si>
  <si>
    <t>Raise</t>
  </si>
  <si>
    <t>Participating Investors</t>
  </si>
  <si>
    <t>Multiples (if available)</t>
  </si>
  <si>
    <t>Revibe</t>
  </si>
  <si>
    <t>Series A</t>
  </si>
  <si>
    <t>$7 Mn</t>
  </si>
  <si>
    <t>https://gulfbusiness.com/uaes-revibe-secures-7m-in-series-a-funding-round/</t>
  </si>
  <si>
    <t>Recent M&amp;A Activity</t>
  </si>
  <si>
    <t>Target</t>
  </si>
  <si>
    <t>Buyer</t>
  </si>
  <si>
    <t>Price</t>
  </si>
  <si>
    <t>Rationale</t>
  </si>
  <si>
    <t>Potential Targets</t>
  </si>
  <si>
    <t>Last Round Valuation</t>
  </si>
  <si>
    <t>Key Recent Hires</t>
  </si>
  <si>
    <t>Name</t>
  </si>
  <si>
    <t>Designation</t>
  </si>
  <si>
    <t>Ujjawal Sinha</t>
  </si>
  <si>
    <t>Marketing Head</t>
  </si>
  <si>
    <t>Hiring Support Required</t>
  </si>
  <si>
    <t>Advisors Required</t>
  </si>
  <si>
    <t>Sourcing experts</t>
  </si>
  <si>
    <t>Exit Goal</t>
  </si>
  <si>
    <t>FY25</t>
  </si>
  <si>
    <t>FY27</t>
  </si>
  <si>
    <t>FY28</t>
  </si>
  <si>
    <t>FY29</t>
  </si>
  <si>
    <t>FY30</t>
  </si>
  <si>
    <t>Holding Fund</t>
  </si>
  <si>
    <t>Investment Cost</t>
  </si>
  <si>
    <t>Current Stake</t>
  </si>
  <si>
    <t>Current Blume Valuation</t>
  </si>
  <si>
    <t>Blume's MTM</t>
  </si>
  <si>
    <t>Valuation Growth</t>
  </si>
  <si>
    <t>Expected Valuation</t>
  </si>
  <si>
    <t>Stake to be Sold</t>
  </si>
  <si>
    <t>Value of Stake Sold</t>
  </si>
  <si>
    <t>Mode of Sale</t>
  </si>
  <si>
    <t>Dilution</t>
  </si>
  <si>
    <t>Residual Stake</t>
  </si>
  <si>
    <t>Residual Value</t>
  </si>
  <si>
    <t>Fund IIA</t>
  </si>
  <si>
    <t>Fund 1Y</t>
  </si>
  <si>
    <t>Total</t>
  </si>
  <si>
    <t>Key Operating Metrics
#1 / #2</t>
  </si>
  <si>
    <t>Core Fund</t>
  </si>
  <si>
    <t>Oppr Fund</t>
  </si>
  <si>
    <t>DPI Track over 3 years?</t>
  </si>
  <si>
    <t>Blume Lead</t>
  </si>
  <si>
    <t>Blume Analyst</t>
  </si>
  <si>
    <t>FY24 - Actuals</t>
  </si>
  <si>
    <t>FY25 - Actuals</t>
  </si>
  <si>
    <t>FY26 - Financial Forecast</t>
  </si>
  <si>
    <t>FY26 - Fundraise Forecast</t>
  </si>
  <si>
    <t>Forecast - FY27</t>
  </si>
  <si>
    <t xml:space="preserve"> </t>
  </si>
  <si>
    <t>FY27 - Fundraise Forecast</t>
  </si>
  <si>
    <t>Forecast - FY28</t>
  </si>
  <si>
    <t>FY28 - Fundraise Forecast</t>
  </si>
  <si>
    <t>Revenue Type (TTM / ARR)</t>
  </si>
  <si>
    <t>Revenue
($ m)</t>
  </si>
  <si>
    <t>Revenue ($ m)</t>
  </si>
  <si>
    <t>YoY Growth (%)</t>
  </si>
  <si>
    <t>% GM</t>
  </si>
  <si>
    <t>% EBITDA</t>
  </si>
  <si>
    <t>Opr. Metric 1</t>
  </si>
  <si>
    <t>Opr. Metric 2</t>
  </si>
  <si>
    <t>% Growth - Opr. Metric 1</t>
  </si>
  <si>
    <t>% Growth - Opr. Metric 2</t>
  </si>
  <si>
    <t>Round Expected?</t>
  </si>
  <si>
    <t>Round Date (Q1-Q4)</t>
  </si>
  <si>
    <t>Key Metric for valuation</t>
  </si>
  <si>
    <t>Key metric as of year-end</t>
  </si>
  <si>
    <t>Expected Multiple</t>
  </si>
  <si>
    <t>Round Valuation
($ mn)</t>
  </si>
  <si>
    <t>Primary Round 
Size ($m)</t>
  </si>
  <si>
    <t>Secondary Round 
Size ($m)</t>
  </si>
  <si>
    <t>No of devices (Mn)/AOV Refurbished (Rs. '000 )</t>
  </si>
  <si>
    <t>Fund 1A</t>
  </si>
  <si>
    <t>Fund IA</t>
  </si>
  <si>
    <t>Active</t>
  </si>
  <si>
    <t>Y</t>
  </si>
  <si>
    <t>Vikram</t>
  </si>
  <si>
    <t>Dhagash</t>
  </si>
  <si>
    <t>FY - Q1</t>
  </si>
  <si>
    <t>FY - Q2</t>
  </si>
  <si>
    <t>FY - Q4</t>
  </si>
  <si>
    <t>All figures in INR Cr</t>
  </si>
  <si>
    <t>Primary Infusion</t>
  </si>
  <si>
    <t>Pre-Money Valuation</t>
  </si>
  <si>
    <t>Post-Money Valuation</t>
  </si>
  <si>
    <t>Series A1</t>
  </si>
  <si>
    <t>Series B</t>
  </si>
  <si>
    <t>Series C</t>
  </si>
  <si>
    <t>Series C2</t>
  </si>
  <si>
    <t>Series D</t>
  </si>
  <si>
    <t>Series E</t>
  </si>
  <si>
    <t>Cap Table</t>
  </si>
  <si>
    <t>Current Holding %</t>
  </si>
  <si>
    <t>Founders</t>
  </si>
  <si>
    <t>Mandeep Manocha</t>
  </si>
  <si>
    <t>Nakul Kumar</t>
  </si>
  <si>
    <t>Amit Sethi</t>
  </si>
  <si>
    <t>Fund</t>
  </si>
  <si>
    <t>Newquest</t>
  </si>
  <si>
    <t>AEP Investment Management Pte Ltd</t>
  </si>
  <si>
    <t>Bessemer Venture Partners</t>
  </si>
  <si>
    <t>KB Investment</t>
  </si>
  <si>
    <t>5Y Capital</t>
  </si>
  <si>
    <t>Shunwei Capital</t>
  </si>
  <si>
    <t>Blume</t>
  </si>
  <si>
    <t>Amazon India</t>
  </si>
  <si>
    <t>M &amp; S Partners</t>
  </si>
  <si>
    <t>ESOP Pool</t>
  </si>
  <si>
    <t>Outline of Special Projects/Initiatives</t>
  </si>
  <si>
    <t>Project</t>
  </si>
  <si>
    <t>Description</t>
  </si>
  <si>
    <t>End Goal</t>
  </si>
  <si>
    <t>Expected Completion</t>
  </si>
  <si>
    <t>Cashify Deep Dive</t>
  </si>
  <si>
    <t xml:space="preserve">Deep dive into the business, competitors, exit thinking etc. of the company to have a document for internal members as well as prospective investors to have a complete understanding of the company </t>
  </si>
  <si>
    <t>Improve understanding of the company</t>
  </si>
  <si>
    <t>Completed</t>
  </si>
  <si>
    <t>Peers Funnel Comparison</t>
  </si>
  <si>
    <t>We analysed the funnel of competitors to identify features that can be imbibed by the company and areas of improvement with the objective of improving eStore performance</t>
  </si>
  <si>
    <t>Improve eStore Performance</t>
  </si>
  <si>
    <t>Introduction to Nitin</t>
  </si>
  <si>
    <t>Consumer Wazir Nitin had multiple in-depth discussions with the company and the company implemented few of his suggestions</t>
  </si>
  <si>
    <t>Improve sourcing costs &amp; Benchmark refurbishing  player</t>
  </si>
  <si>
    <t xml:space="preserve">Cashify sourcing costs are higher than the industry and need to be evaluated: Exercise of  NewJaisa to understand how are they more profitable </t>
  </si>
  <si>
    <t>Improve gross margin</t>
  </si>
  <si>
    <t>Improve retail channel Costs</t>
  </si>
  <si>
    <t>Margin Improvement</t>
  </si>
  <si>
    <t>Electronics Mart RHP Analysis</t>
  </si>
  <si>
    <t>Learnings and Cost Structures Comparison</t>
  </si>
  <si>
    <t>Laptop Sourcing</t>
  </si>
  <si>
    <t>Help with corporate connects to source used laptopl</t>
  </si>
  <si>
    <t>Increase sourcing to increase revenues</t>
  </si>
  <si>
    <t>WIP</t>
  </si>
  <si>
    <t>Cashify's main app holds a 4.4/5 rating on Google Play based on 558,000 reviews. However, Trustpilot highlights significant dissatisfaction, with many users reporting undervalued device quotes and poor pickup experiences.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</si>
</sst>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_(* \(#,##0\);_(* &quot;-&quot;??_);_(@_)"/>
    <numFmt numFmtId="165" formatCode="0.0%"/>
    <numFmt numFmtId="166" formatCode="#,##0;\(#,##0\);\-"/>
    <numFmt numFmtId="167" formatCode="0.0%;\(0.0%\);\-"/>
    <numFmt numFmtId="168" formatCode="0.0\x;\(0.0&quot;x)&quot;"/>
    <numFmt numFmtId="169" formatCode="0.0"/>
    <numFmt numFmtId="170" formatCode="\₹#,##0.00_);\(\₹#,##0.00\);&quot;₹-&quot;?_)"/>
    <numFmt numFmtId="171" formatCode="dd/mm/yyyy"/>
    <numFmt numFmtId="172" formatCode="&quot;$&quot;#,##0_);\(&quot;$&quot;#,##0\);&quot;$-&quot;?_)"/>
    <numFmt numFmtId="173" formatCode="_ * #,##0_ ;_ * \-#,##0_ ;_ * &quot;-&quot;??_ ;_ @_ "/>
  </numFmts>
  <fonts count="53">
    <font>
      <sz val="12.0"/>
      <color theme="1"/>
      <name val="Aptos Narrow"/>
      <scheme val="minor"/>
    </font>
    <font>
      <b/>
      <sz val="16.0"/>
      <color theme="1"/>
      <name val="Aptos Narrow"/>
    </font>
    <font>
      <b/>
      <sz val="12.0"/>
      <color theme="0"/>
      <name val="Aptos Narrow"/>
    </font>
    <font>
      <color theme="1"/>
      <name val="Aptos Narrow"/>
      <scheme val="minor"/>
    </font>
    <font>
      <u/>
      <sz val="12.0"/>
      <color theme="10"/>
      <name val="Aptos Narrow"/>
    </font>
    <font>
      <sz val="12.0"/>
      <color theme="1"/>
      <name val="Aptos Narrow"/>
    </font>
    <font>
      <sz val="11.0"/>
      <color theme="1"/>
      <name val="Arial"/>
    </font>
    <font>
      <sz val="10.0"/>
      <color theme="1"/>
      <name val="Arial"/>
    </font>
    <font>
      <sz val="11.0"/>
      <color theme="1"/>
      <name val="Aptos Narrow"/>
    </font>
    <font>
      <b/>
      <sz val="10.0"/>
      <color theme="1"/>
      <name val="Calibri"/>
    </font>
    <font>
      <b/>
      <sz val="9.0"/>
      <color rgb="FFFFFFFF"/>
      <name val="Calibri"/>
    </font>
    <font>
      <sz val="9.0"/>
      <color theme="1"/>
      <name val="Calibri"/>
    </font>
    <font>
      <i/>
      <sz val="9.0"/>
      <color theme="1"/>
      <name val="Calibri"/>
    </font>
    <font>
      <b/>
      <sz val="12.0"/>
      <color rgb="FF1F3864"/>
      <name val="Calibri"/>
    </font>
    <font/>
    <font>
      <b/>
      <sz val="10.0"/>
      <color rgb="FF1F3864"/>
      <name val="Calibri"/>
    </font>
    <font>
      <i/>
      <sz val="8.0"/>
      <color rgb="FF808080"/>
      <name val="Calibri"/>
    </font>
    <font>
      <b/>
      <sz val="13.0"/>
      <color rgb="FF1F3864"/>
      <name val="Arial"/>
    </font>
    <font>
      <b/>
      <sz val="12.0"/>
      <color rgb="FF000000"/>
      <name val="Aptos Narrow"/>
    </font>
    <font>
      <i/>
      <sz val="9.0"/>
      <color rgb="FF595959"/>
      <name val="Arial"/>
    </font>
    <font>
      <b/>
      <sz val="10.0"/>
      <color rgb="FFFFFFFF"/>
      <name val="Arial"/>
    </font>
    <font>
      <sz val="12.0"/>
      <color rgb="FF000000"/>
      <name val="Aptos Narrow"/>
    </font>
    <font>
      <b/>
      <sz val="10.0"/>
      <color rgb="FF000000"/>
      <name val="Arial"/>
    </font>
    <font>
      <sz val="10.0"/>
      <color rgb="FF000000"/>
      <name val="Arial"/>
    </font>
    <font>
      <sz val="10.0"/>
      <color rgb="FF0000FF"/>
      <name val="Arial"/>
    </font>
    <font>
      <b/>
      <sz val="10.0"/>
      <color theme="1"/>
      <name val="Arial"/>
    </font>
    <font>
      <b/>
      <sz val="13.0"/>
      <color rgb="FF000000"/>
      <name val="Aptos Narrow"/>
    </font>
    <font>
      <b/>
      <sz val="11.0"/>
      <color theme="1"/>
      <name val="Calibri"/>
    </font>
    <font>
      <b/>
      <sz val="12.0"/>
      <color theme="1"/>
      <name val="Aptos Narrow"/>
    </font>
    <font>
      <b/>
      <sz val="11.0"/>
      <color theme="1"/>
      <name val="Aptos Narrow"/>
    </font>
    <font>
      <sz val="11.0"/>
      <color theme="1"/>
      <name val="Calibri"/>
    </font>
    <font>
      <b/>
      <u/>
      <sz val="16.0"/>
      <color rgb="FF007EFE"/>
      <name val="Roboto"/>
    </font>
    <font>
      <sz val="11.0"/>
      <color theme="1"/>
      <name val="Roboto"/>
    </font>
    <font>
      <b/>
      <sz val="16.0"/>
      <color rgb="FF000000"/>
      <name val="Aptos Narrow"/>
    </font>
    <font>
      <sz val="12.0"/>
      <color theme="1"/>
      <name val="Arial"/>
    </font>
    <font>
      <b/>
      <sz val="10.0"/>
      <color rgb="FFFFFFFF"/>
      <name val="Calibri"/>
    </font>
    <font>
      <b/>
      <sz val="10.0"/>
      <color theme="0"/>
      <name val="Calibri"/>
    </font>
    <font>
      <sz val="10.0"/>
      <color theme="1"/>
      <name val="Calibri"/>
    </font>
    <font>
      <sz val="10.0"/>
      <color theme="1"/>
      <name val="Aptos Narrow"/>
    </font>
    <font>
      <b/>
      <sz val="10.0"/>
      <color rgb="FF000000"/>
      <name val="Calibri"/>
    </font>
    <font>
      <b/>
      <sz val="10.0"/>
      <color rgb="FF0000FF"/>
      <name val="Calibri"/>
    </font>
    <font>
      <b/>
      <i/>
      <sz val="10.0"/>
      <color rgb="FF000000"/>
      <name val="Calibri"/>
    </font>
    <font>
      <b/>
      <i/>
      <sz val="10.0"/>
      <color rgb="FF0000FF"/>
      <name val="Calibri"/>
    </font>
    <font>
      <sz val="10.0"/>
      <color rgb="FF000000"/>
      <name val="Calibri"/>
    </font>
    <font>
      <sz val="10.0"/>
      <color rgb="FF0000FF"/>
      <name val="Calibri"/>
    </font>
    <font>
      <i/>
      <sz val="10.0"/>
      <color rgb="FF0000FF"/>
      <name val="Calibri"/>
    </font>
    <font>
      <i/>
      <sz val="11.0"/>
      <color theme="1"/>
      <name val="Aptos Narrow"/>
    </font>
    <font>
      <sz val="11.0"/>
      <color rgb="FFE8E8E8"/>
      <name val="Aptos Narrow"/>
    </font>
    <font>
      <b/>
      <color theme="1"/>
      <name val="Arial"/>
    </font>
    <font>
      <b/>
      <color rgb="FF000000"/>
      <name val="Aptos Narrow"/>
      <scheme val="minor"/>
    </font>
    <font>
      <color rgb="FF000000"/>
      <name val="Aptos Narrow"/>
      <scheme val="minor"/>
    </font>
    <font>
      <sz val="18.0"/>
      <color theme="1"/>
      <name val="Helvetica Neue"/>
    </font>
    <font>
      <sz val="16.0"/>
      <color theme="1"/>
      <name val="Helvetica Neue"/>
    </font>
  </fonts>
  <fills count="16">
    <fill>
      <patternFill patternType="none"/>
    </fill>
    <fill>
      <patternFill patternType="lightGray"/>
    </fill>
    <fill>
      <patternFill patternType="solid">
        <fgColor rgb="FF4D94D8"/>
        <bgColor rgb="FF4D94D8"/>
      </patternFill>
    </fill>
    <fill>
      <patternFill patternType="solid">
        <fgColor rgb="FFFFFF00"/>
        <bgColor rgb="FFFFFF00"/>
      </patternFill>
    </fill>
    <fill>
      <patternFill patternType="solid">
        <fgColor rgb="FF1F3864"/>
        <bgColor rgb="FF1F3864"/>
      </patternFill>
    </fill>
    <fill>
      <patternFill patternType="solid">
        <fgColor rgb="FFF2F5FB"/>
        <bgColor rgb="FFF2F5FB"/>
      </patternFill>
    </fill>
    <fill>
      <patternFill patternType="solid">
        <fgColor rgb="FFDDEBF7"/>
        <bgColor rgb="FFDDEBF7"/>
      </patternFill>
    </fill>
    <fill>
      <patternFill patternType="solid">
        <fgColor rgb="FFDDDDDD"/>
        <bgColor rgb="FFDDDDDD"/>
      </patternFill>
    </fill>
    <fill>
      <patternFill patternType="solid">
        <fgColor rgb="FFC1E4F5"/>
        <bgColor rgb="FFC1E4F5"/>
      </patternFill>
    </fill>
    <fill>
      <patternFill patternType="solid">
        <fgColor rgb="FFEFF3F5"/>
        <bgColor rgb="FFEFF3F5"/>
      </patternFill>
    </fill>
    <fill>
      <patternFill patternType="solid">
        <fgColor rgb="FFDBE9F7"/>
        <bgColor rgb="FFDBE9F7"/>
      </patternFill>
    </fill>
    <fill>
      <patternFill patternType="solid">
        <fgColor rgb="FFFCCD99"/>
        <bgColor rgb="FFFCCD99"/>
      </patternFill>
    </fill>
    <fill>
      <patternFill patternType="solid">
        <fgColor rgb="FF002060"/>
        <bgColor rgb="FF002060"/>
      </patternFill>
    </fill>
    <fill>
      <patternFill patternType="solid">
        <fgColor rgb="FFFFFFFF"/>
        <bgColor rgb="FFFFFFFF"/>
      </patternFill>
    </fill>
    <fill>
      <patternFill patternType="solid">
        <fgColor rgb="FFD9D2E9"/>
        <bgColor rgb="FFD9D2E9"/>
      </patternFill>
    </fill>
    <fill>
      <patternFill patternType="solid">
        <fgColor rgb="FF215E99"/>
        <bgColor rgb="FF215E99"/>
      </patternFill>
    </fill>
  </fills>
  <borders count="39">
    <border/>
    <border>
      <left/>
      <right/>
      <top/>
      <bottom/>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bottom style="thin">
        <color rgb="FF000000"/>
      </bottom>
    </border>
    <border>
      <left/>
      <right/>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left style="thin">
        <color rgb="FFE0E4E7"/>
      </left>
      <right style="thin">
        <color rgb="FFE0E4E7"/>
      </right>
      <top style="thin">
        <color rgb="FFE0E4E7"/>
      </top>
      <bottom style="thin">
        <color rgb="FFE0E4E7"/>
      </bottom>
    </border>
    <border>
      <left style="thin">
        <color rgb="FF000000"/>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left style="thin">
        <color rgb="FF000000"/>
      </left>
      <bottom style="thin">
        <color rgb="FF000000"/>
      </bottom>
    </border>
    <border>
      <left style="thin">
        <color rgb="FF000000"/>
      </left>
      <right/>
      <top/>
      <bottom style="thin">
        <color rgb="FF000000"/>
      </bottom>
    </border>
    <border>
      <left/>
      <right/>
      <top style="thin">
        <color rgb="FF000000"/>
      </top>
      <bottom/>
    </border>
    <border>
      <right style="thin">
        <color rgb="FF000000"/>
      </right>
      <top style="thin">
        <color rgb="FF000000"/>
      </top>
    </border>
    <border>
      <top style="thin">
        <color rgb="FF000000"/>
      </top>
    </border>
    <border>
      <left/>
      <right style="thin">
        <color rgb="FF000000"/>
      </right>
      <top style="thin">
        <color rgb="FF000000"/>
      </top>
      <bottom/>
    </border>
    <border>
      <left/>
      <right style="dotted">
        <color rgb="FFBFBFBF"/>
      </right>
      <top style="thin">
        <color rgb="FF000000"/>
      </top>
      <bottom/>
    </border>
    <border>
      <left style="thin">
        <color rgb="FF000000"/>
      </left>
      <right/>
      <top style="thin">
        <color rgb="FF000000"/>
      </top>
      <bottom style="thin">
        <color rgb="FF000000"/>
      </bottom>
    </border>
    <border>
      <top style="thin">
        <color rgb="FF000000"/>
      </top>
      <bottom style="medium">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Font="1"/>
    <xf borderId="0" fillId="0" fontId="4" numFmtId="0" xfId="0" applyFont="1"/>
    <xf borderId="1" fillId="3" fontId="5" numFmtId="0" xfId="0" applyBorder="1" applyFill="1" applyFont="1"/>
    <xf borderId="0" fillId="0" fontId="6" numFmtId="0" xfId="0" applyFont="1"/>
    <xf borderId="0" fillId="0" fontId="7" numFmtId="0" xfId="0" applyFont="1"/>
    <xf borderId="0" fillId="0" fontId="5" numFmtId="164" xfId="0" applyFont="1" applyNumberFormat="1"/>
    <xf borderId="0" fillId="0" fontId="8" numFmtId="0" xfId="0" applyFont="1"/>
    <xf borderId="0" fillId="0" fontId="9" numFmtId="0" xfId="0" applyFont="1"/>
    <xf borderId="1" fillId="4" fontId="10" numFmtId="0" xfId="0" applyAlignment="1" applyBorder="1" applyFill="1" applyFont="1">
      <alignment horizontal="center" shrinkToFit="0" vertical="center" wrapText="1"/>
    </xf>
    <xf borderId="0" fillId="0" fontId="11" numFmtId="0" xfId="0" applyFont="1"/>
    <xf borderId="0" fillId="0" fontId="5" numFmtId="9" xfId="0" applyFont="1" applyNumberFormat="1"/>
    <xf borderId="0" fillId="0" fontId="12" numFmtId="0" xfId="0" applyFont="1"/>
    <xf borderId="0" fillId="0" fontId="5" numFmtId="165" xfId="0" applyFont="1" applyNumberFormat="1"/>
    <xf borderId="0" fillId="0" fontId="5" numFmtId="1" xfId="0" applyFont="1" applyNumberFormat="1"/>
    <xf borderId="0" fillId="0" fontId="8" numFmtId="9" xfId="0" applyFont="1" applyNumberFormat="1"/>
    <xf borderId="0" fillId="0" fontId="8" numFmtId="165" xfId="0" applyFont="1" applyNumberFormat="1"/>
    <xf borderId="0" fillId="0" fontId="8" numFmtId="1" xfId="0" applyFont="1" applyNumberFormat="1"/>
    <xf borderId="2" fillId="5" fontId="13" numFmtId="0" xfId="0" applyAlignment="1" applyBorder="1" applyFill="1" applyFont="1">
      <alignment horizontal="left" shrinkToFit="0" vertical="top" wrapText="1"/>
    </xf>
    <xf borderId="3" fillId="0" fontId="14" numFmtId="0" xfId="0" applyBorder="1" applyFont="1"/>
    <xf borderId="4" fillId="0" fontId="14" numFmtId="0" xfId="0" applyBorder="1" applyFont="1"/>
    <xf borderId="0" fillId="0" fontId="15" numFmtId="0" xfId="0" applyAlignment="1" applyFont="1">
      <alignment horizontal="left" shrinkToFit="0" vertical="top" wrapText="1"/>
    </xf>
    <xf borderId="0" fillId="0" fontId="11" numFmtId="0" xfId="0" applyAlignment="1" applyFont="1">
      <alignment horizontal="left" shrinkToFit="0" vertical="top" wrapText="1"/>
    </xf>
    <xf borderId="0" fillId="0" fontId="16" numFmtId="0" xfId="0" applyAlignment="1" applyFont="1">
      <alignment horizontal="left" shrinkToFit="0" vertical="top" wrapText="1"/>
    </xf>
    <xf borderId="0" fillId="0" fontId="17" numFmtId="0" xfId="0" applyFont="1"/>
    <xf borderId="0" fillId="0" fontId="18" numFmtId="0" xfId="0" applyFont="1"/>
    <xf borderId="0" fillId="0" fontId="19" numFmtId="0" xfId="0" applyFont="1"/>
    <xf borderId="5" fillId="4" fontId="20" numFmtId="0" xfId="0" applyAlignment="1" applyBorder="1" applyFont="1">
      <alignment horizontal="center" shrinkToFit="0" vertical="center" wrapText="1"/>
    </xf>
    <xf borderId="0" fillId="0" fontId="21" numFmtId="0" xfId="0" applyFont="1"/>
    <xf borderId="5" fillId="6" fontId="22" numFmtId="0" xfId="0" applyAlignment="1" applyBorder="1" applyFill="1" applyFont="1">
      <alignment horizontal="left"/>
    </xf>
    <xf borderId="5" fillId="6" fontId="23" numFmtId="0" xfId="0" applyAlignment="1" applyBorder="1" applyFont="1">
      <alignment horizontal="center"/>
    </xf>
    <xf borderId="5" fillId="6" fontId="24" numFmtId="166" xfId="0" applyAlignment="1" applyBorder="1" applyFont="1" applyNumberFormat="1">
      <alignment horizontal="right"/>
    </xf>
    <xf borderId="5" fillId="6" fontId="23" numFmtId="9" xfId="0" applyAlignment="1" applyBorder="1" applyFont="1" applyNumberFormat="1">
      <alignment horizontal="right"/>
    </xf>
    <xf borderId="5" fillId="6" fontId="23" numFmtId="167" xfId="0" applyAlignment="1" applyBorder="1" applyFont="1" applyNumberFormat="1">
      <alignment horizontal="right"/>
    </xf>
    <xf borderId="5" fillId="6" fontId="24" numFmtId="167" xfId="0" applyAlignment="1" applyBorder="1" applyFont="1" applyNumberFormat="1">
      <alignment horizontal="right"/>
    </xf>
    <xf borderId="5" fillId="6" fontId="23" numFmtId="168" xfId="0" applyAlignment="1" applyBorder="1" applyFont="1" applyNumberFormat="1">
      <alignment horizontal="right"/>
    </xf>
    <xf borderId="5" fillId="0" fontId="23" numFmtId="0" xfId="0" applyAlignment="1" applyBorder="1" applyFont="1">
      <alignment horizontal="left"/>
    </xf>
    <xf borderId="5" fillId="0" fontId="23" numFmtId="0" xfId="0" applyAlignment="1" applyBorder="1" applyFont="1">
      <alignment horizontal="center"/>
    </xf>
    <xf borderId="5" fillId="0" fontId="24" numFmtId="166" xfId="0" applyAlignment="1" applyBorder="1" applyFont="1" applyNumberFormat="1">
      <alignment horizontal="right"/>
    </xf>
    <xf borderId="5" fillId="0" fontId="24" numFmtId="167" xfId="0" applyAlignment="1" applyBorder="1" applyFont="1" applyNumberFormat="1">
      <alignment horizontal="right"/>
    </xf>
    <xf borderId="5" fillId="0" fontId="23" numFmtId="167" xfId="0" applyAlignment="1" applyBorder="1" applyFont="1" applyNumberFormat="1">
      <alignment horizontal="right"/>
    </xf>
    <xf borderId="5" fillId="0" fontId="23" numFmtId="168" xfId="0" applyAlignment="1" applyBorder="1" applyFont="1" applyNumberFormat="1">
      <alignment horizontal="right"/>
    </xf>
    <xf borderId="0" fillId="0" fontId="25" numFmtId="0" xfId="0" applyAlignment="1" applyFont="1">
      <alignment horizontal="left"/>
    </xf>
    <xf borderId="0" fillId="0" fontId="22" numFmtId="168" xfId="0" applyAlignment="1" applyFont="1" applyNumberFormat="1">
      <alignment horizontal="right"/>
    </xf>
    <xf borderId="5" fillId="0" fontId="22" numFmtId="168" xfId="0" applyAlignment="1" applyBorder="1" applyFont="1" applyNumberFormat="1">
      <alignment horizontal="right"/>
    </xf>
    <xf borderId="0" fillId="0" fontId="26" numFmtId="0" xfId="0" applyFont="1"/>
    <xf borderId="5" fillId="4" fontId="20" numFmtId="0" xfId="0" applyAlignment="1" applyBorder="1" applyFont="1">
      <alignment horizontal="center" readingOrder="0" shrinkToFit="0" vertical="center" wrapText="1"/>
    </xf>
    <xf borderId="5" fillId="6" fontId="24" numFmtId="166" xfId="0" applyAlignment="1" applyBorder="1" applyFont="1" applyNumberFormat="1">
      <alignment horizontal="right" readingOrder="0"/>
    </xf>
    <xf borderId="0" fillId="0" fontId="27" numFmtId="0" xfId="0" applyFont="1"/>
    <xf borderId="1" fillId="7" fontId="27" numFmtId="0" xfId="0" applyAlignment="1" applyBorder="1" applyFill="1" applyFont="1">
      <alignment horizontal="center"/>
    </xf>
    <xf borderId="0" fillId="0" fontId="8" numFmtId="3" xfId="0" applyFont="1" applyNumberFormat="1"/>
    <xf borderId="6" fillId="0" fontId="28" numFmtId="0" xfId="0" applyBorder="1" applyFont="1"/>
    <xf borderId="6" fillId="0" fontId="28" numFmtId="0" xfId="0" applyAlignment="1" applyBorder="1" applyFont="1">
      <alignment horizontal="center"/>
    </xf>
    <xf borderId="6" fillId="0" fontId="5" numFmtId="0" xfId="0" applyBorder="1" applyFont="1"/>
    <xf borderId="6" fillId="0" fontId="5" numFmtId="1" xfId="0" applyAlignment="1" applyBorder="1" applyFont="1" applyNumberFormat="1">
      <alignment horizontal="center"/>
    </xf>
    <xf borderId="6" fillId="0" fontId="5" numFmtId="9" xfId="0" applyAlignment="1" applyBorder="1" applyFont="1" applyNumberFormat="1">
      <alignment horizontal="center"/>
    </xf>
    <xf borderId="6" fillId="8" fontId="29" numFmtId="0" xfId="0" applyBorder="1" applyFill="1" applyFont="1"/>
    <xf borderId="7" fillId="8" fontId="29" numFmtId="0" xfId="0" applyAlignment="1" applyBorder="1" applyFont="1">
      <alignment horizontal="center"/>
    </xf>
    <xf borderId="8" fillId="0" fontId="14" numFmtId="0" xfId="0" applyBorder="1" applyFont="1"/>
    <xf borderId="9" fillId="0" fontId="14" numFmtId="0" xfId="0" applyBorder="1" applyFont="1"/>
    <xf borderId="10" fillId="8" fontId="29" numFmtId="0" xfId="0" applyAlignment="1" applyBorder="1" applyFont="1">
      <alignment horizontal="center"/>
    </xf>
    <xf borderId="11" fillId="0" fontId="14" numFmtId="0" xfId="0" applyBorder="1" applyFont="1"/>
    <xf borderId="6" fillId="8" fontId="29" numFmtId="0" xfId="0" applyAlignment="1" applyBorder="1" applyFont="1">
      <alignment horizontal="center"/>
    </xf>
    <xf borderId="12" fillId="8" fontId="29" numFmtId="0" xfId="0" applyBorder="1" applyFont="1"/>
    <xf borderId="13" fillId="8" fontId="29" numFmtId="0" xfId="0" applyBorder="1" applyFont="1"/>
    <xf borderId="14" fillId="8" fontId="29" numFmtId="0" xfId="0" applyBorder="1" applyFont="1"/>
    <xf borderId="15" fillId="8" fontId="29" numFmtId="0" xfId="0" applyBorder="1" applyFont="1"/>
    <xf borderId="16" fillId="8" fontId="29" numFmtId="0" xfId="0" applyBorder="1" applyFont="1"/>
    <xf borderId="6" fillId="0" fontId="29" numFmtId="0" xfId="0" applyBorder="1" applyFont="1"/>
    <xf borderId="6" fillId="0" fontId="8" numFmtId="0" xfId="0" applyBorder="1" applyFont="1"/>
    <xf borderId="9" fillId="0" fontId="8" numFmtId="0" xfId="0" applyBorder="1" applyFont="1"/>
    <xf borderId="8" fillId="0" fontId="8" numFmtId="0" xfId="0" applyBorder="1" applyFont="1"/>
    <xf borderId="17" fillId="0" fontId="8" numFmtId="0" xfId="0" applyBorder="1" applyFont="1"/>
    <xf borderId="18" fillId="0" fontId="27" numFmtId="0" xfId="0" applyBorder="1" applyFont="1"/>
    <xf borderId="18" fillId="0" fontId="8" numFmtId="3" xfId="0" applyBorder="1" applyFont="1" applyNumberFormat="1"/>
    <xf borderId="19" fillId="0" fontId="8" numFmtId="3" xfId="0" applyBorder="1" applyFont="1" applyNumberFormat="1"/>
    <xf borderId="18" fillId="0" fontId="8" numFmtId="9" xfId="0" applyBorder="1" applyFont="1" applyNumberFormat="1"/>
    <xf borderId="19" fillId="0" fontId="8" numFmtId="9" xfId="0" applyBorder="1" applyFont="1" applyNumberFormat="1"/>
    <xf borderId="18" fillId="0" fontId="8" numFmtId="0" xfId="0" applyBorder="1" applyFont="1"/>
    <xf borderId="18" fillId="0" fontId="30" numFmtId="0" xfId="0" applyBorder="1" applyFont="1"/>
    <xf borderId="18" fillId="0" fontId="8" numFmtId="1" xfId="0" applyBorder="1" applyFont="1" applyNumberFormat="1"/>
    <xf borderId="18" fillId="0" fontId="29" numFmtId="0" xfId="0" applyBorder="1" applyFont="1"/>
    <xf borderId="18" fillId="0" fontId="29" numFmtId="3" xfId="0" applyBorder="1" applyFont="1" applyNumberFormat="1"/>
    <xf borderId="19" fillId="0" fontId="29" numFmtId="3" xfId="0" applyBorder="1" applyFont="1" applyNumberFormat="1"/>
    <xf borderId="18" fillId="0" fontId="29" numFmtId="9" xfId="0" applyBorder="1" applyFont="1" applyNumberFormat="1"/>
    <xf borderId="19" fillId="0" fontId="29" numFmtId="9" xfId="0" applyBorder="1" applyFont="1" applyNumberFormat="1"/>
    <xf borderId="0" fillId="0" fontId="29" numFmtId="9" xfId="0" applyFont="1" applyNumberFormat="1"/>
    <xf borderId="17" fillId="0" fontId="27" numFmtId="0" xfId="0" applyBorder="1" applyFont="1"/>
    <xf borderId="17" fillId="0" fontId="29" numFmtId="3" xfId="0" applyBorder="1" applyFont="1" applyNumberFormat="1"/>
    <xf borderId="20" fillId="0" fontId="29" numFmtId="3" xfId="0" applyBorder="1" applyFont="1" applyNumberFormat="1"/>
    <xf borderId="17" fillId="0" fontId="29" numFmtId="9" xfId="0" applyBorder="1" applyFont="1" applyNumberFormat="1"/>
    <xf borderId="20" fillId="0" fontId="29" numFmtId="9" xfId="0" applyBorder="1" applyFont="1" applyNumberFormat="1"/>
    <xf borderId="21" fillId="0" fontId="29" numFmtId="9" xfId="0" applyBorder="1" applyFont="1" applyNumberFormat="1"/>
    <xf borderId="20" fillId="0" fontId="8" numFmtId="0" xfId="0" applyBorder="1" applyFont="1"/>
    <xf borderId="17" fillId="0" fontId="29" numFmtId="0" xfId="0" applyBorder="1" applyFont="1"/>
    <xf borderId="18" fillId="0" fontId="8" numFmtId="169" xfId="0" applyBorder="1" applyFont="1" applyNumberFormat="1"/>
    <xf borderId="19" fillId="0" fontId="8" numFmtId="169" xfId="0" applyBorder="1" applyFont="1" applyNumberFormat="1"/>
    <xf borderId="17" fillId="0" fontId="8" numFmtId="169" xfId="0" applyBorder="1" applyFont="1" applyNumberFormat="1"/>
    <xf borderId="20" fillId="0" fontId="8" numFmtId="169" xfId="0" applyBorder="1" applyFont="1" applyNumberFormat="1"/>
    <xf borderId="0" fillId="0" fontId="8" numFmtId="169" xfId="0" applyFont="1" applyNumberFormat="1"/>
    <xf borderId="0" fillId="0" fontId="30" numFmtId="0" xfId="0" applyFont="1"/>
    <xf borderId="0" fillId="0" fontId="31" numFmtId="0" xfId="0" applyAlignment="1" applyFont="1">
      <alignment horizontal="left" shrinkToFit="0" vertical="top" wrapText="1"/>
    </xf>
    <xf borderId="22" fillId="9" fontId="29" numFmtId="0" xfId="0" applyAlignment="1" applyBorder="1" applyFill="1" applyFont="1">
      <alignment horizontal="left" shrinkToFit="0" vertical="top" wrapText="1"/>
    </xf>
    <xf borderId="1" fillId="9" fontId="8" numFmtId="0" xfId="0" applyAlignment="1" applyBorder="1" applyFont="1">
      <alignment horizontal="left" shrinkToFit="0" vertical="top" wrapText="1"/>
    </xf>
    <xf borderId="1" fillId="9" fontId="32" numFmtId="0" xfId="0" applyAlignment="1" applyBorder="1" applyFont="1">
      <alignment horizontal="left" shrinkToFit="0" vertical="top" wrapText="1"/>
    </xf>
    <xf borderId="0" fillId="0" fontId="32" numFmtId="0" xfId="0" applyAlignment="1" applyFont="1">
      <alignment horizontal="left" shrinkToFit="0" vertical="top" wrapText="1"/>
    </xf>
    <xf borderId="0" fillId="0" fontId="8" numFmtId="0" xfId="0" applyAlignment="1" applyFont="1">
      <alignment horizontal="left" shrinkToFit="0" vertical="top" wrapText="1"/>
    </xf>
    <xf borderId="0" fillId="0" fontId="8" numFmtId="0" xfId="0" applyAlignment="1" applyFont="1">
      <alignment shrinkToFit="0" vertical="top" wrapText="1"/>
    </xf>
    <xf borderId="0" fillId="0" fontId="33" numFmtId="0" xfId="0" applyFont="1"/>
    <xf borderId="0" fillId="0" fontId="28" numFmtId="0" xfId="0" applyFont="1"/>
    <xf borderId="0" fillId="0" fontId="5" numFmtId="0" xfId="0" applyAlignment="1" applyFont="1">
      <alignment shrinkToFit="0" wrapText="1"/>
    </xf>
    <xf borderId="0" fillId="0" fontId="33" numFmtId="0" xfId="0" applyAlignment="1" applyFont="1">
      <alignment shrinkToFit="0" wrapText="1"/>
    </xf>
    <xf borderId="23" fillId="2" fontId="2" numFmtId="0" xfId="0" applyBorder="1" applyFont="1"/>
    <xf borderId="24" fillId="2" fontId="2" numFmtId="0" xfId="0" applyAlignment="1" applyBorder="1" applyFont="1">
      <alignment horizontal="center" shrinkToFit="0" wrapText="1"/>
    </xf>
    <xf borderId="25" fillId="0" fontId="14" numFmtId="0" xfId="0" applyBorder="1" applyFont="1"/>
    <xf borderId="26" fillId="0" fontId="14" numFmtId="0" xfId="0" applyBorder="1" applyFont="1"/>
    <xf borderId="27" fillId="10" fontId="5" numFmtId="0" xfId="0" applyAlignment="1" applyBorder="1" applyFill="1" applyFont="1">
      <alignment vertical="center"/>
    </xf>
    <xf borderId="27" fillId="10" fontId="5" numFmtId="0" xfId="0" applyAlignment="1" applyBorder="1" applyFont="1">
      <alignment shrinkToFit="0" vertical="center" wrapText="1"/>
    </xf>
    <xf borderId="1" fillId="10" fontId="5" numFmtId="0" xfId="0" applyAlignment="1" applyBorder="1" applyFont="1">
      <alignment shrinkToFit="0" vertical="center" wrapText="1"/>
    </xf>
    <xf borderId="28" fillId="10" fontId="5" numFmtId="0" xfId="0" applyAlignment="1" applyBorder="1" applyFont="1">
      <alignment shrinkToFit="0" vertical="center" wrapText="1"/>
    </xf>
    <xf borderId="29" fillId="0" fontId="5" numFmtId="0" xfId="0" applyBorder="1" applyFont="1"/>
    <xf borderId="29" fillId="0" fontId="34" numFmtId="0" xfId="0" applyAlignment="1" applyBorder="1" applyFont="1">
      <alignment readingOrder="0" shrinkToFit="0" wrapText="1"/>
    </xf>
    <xf borderId="0" fillId="0" fontId="5" numFmtId="9" xfId="0" applyAlignment="1" applyFont="1" applyNumberFormat="1">
      <alignment shrinkToFit="0" wrapText="1"/>
    </xf>
    <xf borderId="0" fillId="0" fontId="34" numFmtId="0" xfId="0" applyAlignment="1" applyFont="1">
      <alignment readingOrder="0" shrinkToFit="0" wrapText="1"/>
    </xf>
    <xf borderId="19" fillId="0" fontId="5" numFmtId="1" xfId="0" applyAlignment="1" applyBorder="1" applyFont="1" applyNumberFormat="1">
      <alignment shrinkToFit="0" wrapText="1"/>
    </xf>
    <xf borderId="27" fillId="11" fontId="5" numFmtId="9" xfId="0" applyAlignment="1" applyBorder="1" applyFill="1" applyFont="1" applyNumberFormat="1">
      <alignment shrinkToFit="0" wrapText="1"/>
    </xf>
    <xf borderId="1" fillId="11" fontId="5" numFmtId="9" xfId="0" applyAlignment="1" applyBorder="1" applyFont="1" applyNumberFormat="1">
      <alignment shrinkToFit="0" wrapText="1"/>
    </xf>
    <xf borderId="19" fillId="0" fontId="5" numFmtId="0" xfId="0" applyAlignment="1" applyBorder="1" applyFont="1">
      <alignment shrinkToFit="0" wrapText="1"/>
    </xf>
    <xf borderId="27" fillId="11" fontId="5" numFmtId="0" xfId="0" applyAlignment="1" applyBorder="1" applyFont="1">
      <alignment shrinkToFit="0" wrapText="1"/>
    </xf>
    <xf borderId="1" fillId="11" fontId="5" numFmtId="0" xfId="0" applyAlignment="1" applyBorder="1" applyFont="1">
      <alignment shrinkToFit="0" wrapText="1"/>
    </xf>
    <xf borderId="29" fillId="0" fontId="34" numFmtId="1" xfId="0" applyAlignment="1" applyBorder="1" applyFont="1" applyNumberFormat="1">
      <alignment readingOrder="0" shrinkToFit="0" wrapText="1"/>
    </xf>
    <xf borderId="30" fillId="0" fontId="5" numFmtId="0" xfId="0" applyBorder="1" applyFont="1"/>
    <xf borderId="30" fillId="0" fontId="5" numFmtId="1" xfId="0" applyAlignment="1" applyBorder="1" applyFont="1" applyNumberFormat="1">
      <alignment shrinkToFit="0" wrapText="1"/>
    </xf>
    <xf borderId="21" fillId="0" fontId="5" numFmtId="9" xfId="0" applyAlignment="1" applyBorder="1" applyFont="1" applyNumberFormat="1">
      <alignment shrinkToFit="0" wrapText="1"/>
    </xf>
    <xf borderId="21" fillId="0" fontId="5" numFmtId="0" xfId="0" applyAlignment="1" applyBorder="1" applyFont="1">
      <alignment shrinkToFit="0" wrapText="1"/>
    </xf>
    <xf borderId="20" fillId="0" fontId="5" numFmtId="1" xfId="0" applyAlignment="1" applyBorder="1" applyFont="1" applyNumberFormat="1">
      <alignment shrinkToFit="0" wrapText="1"/>
    </xf>
    <xf borderId="31" fillId="11" fontId="5" numFmtId="9" xfId="0" applyAlignment="1" applyBorder="1" applyFont="1" applyNumberFormat="1">
      <alignment shrinkToFit="0" wrapText="1"/>
    </xf>
    <xf borderId="16" fillId="11" fontId="5" numFmtId="9" xfId="0" applyAlignment="1" applyBorder="1" applyFont="1" applyNumberFormat="1">
      <alignment shrinkToFit="0" wrapText="1"/>
    </xf>
    <xf borderId="20" fillId="0" fontId="5" numFmtId="0" xfId="0" applyAlignment="1" applyBorder="1" applyFont="1">
      <alignment shrinkToFit="0" wrapText="1"/>
    </xf>
    <xf borderId="31" fillId="11" fontId="5" numFmtId="0" xfId="0" applyAlignment="1" applyBorder="1" applyFont="1">
      <alignment shrinkToFit="0" wrapText="1"/>
    </xf>
    <xf borderId="16" fillId="11" fontId="5" numFmtId="0" xfId="0" applyAlignment="1" applyBorder="1" applyFont="1">
      <alignment shrinkToFit="0" wrapText="1"/>
    </xf>
    <xf borderId="30" fillId="0" fontId="5" numFmtId="0" xfId="0" applyAlignment="1" applyBorder="1" applyFont="1">
      <alignment shrinkToFit="0" wrapText="1"/>
    </xf>
    <xf borderId="23" fillId="12" fontId="35" numFmtId="0" xfId="0" applyAlignment="1" applyBorder="1" applyFill="1" applyFont="1">
      <alignment horizontal="center" shrinkToFit="0" vertical="top" wrapText="1"/>
    </xf>
    <xf borderId="32" fillId="12" fontId="35" numFmtId="0" xfId="0" applyAlignment="1" applyBorder="1" applyFont="1">
      <alignment horizontal="center" shrinkToFit="0" vertical="top" wrapText="1"/>
    </xf>
    <xf borderId="32" fillId="12" fontId="36" numFmtId="0" xfId="0" applyAlignment="1" applyBorder="1" applyFont="1">
      <alignment horizontal="center" shrinkToFit="0" vertical="top" wrapText="1"/>
    </xf>
    <xf borderId="0" fillId="0" fontId="37" numFmtId="0" xfId="0" applyAlignment="1" applyFont="1">
      <alignment shrinkToFit="0" wrapText="1"/>
    </xf>
    <xf borderId="32" fillId="12" fontId="35" numFmtId="0" xfId="0" applyAlignment="1" applyBorder="1" applyFont="1">
      <alignment shrinkToFit="0" vertical="top" wrapText="1"/>
    </xf>
    <xf borderId="33" fillId="0" fontId="38" numFmtId="0" xfId="0" applyBorder="1" applyFont="1"/>
    <xf borderId="0" fillId="0" fontId="37" numFmtId="0" xfId="0" applyAlignment="1" applyFont="1">
      <alignment horizontal="center" shrinkToFit="0" vertical="top" wrapText="1"/>
    </xf>
    <xf borderId="34" fillId="0" fontId="38" numFmtId="0" xfId="0" applyBorder="1" applyFont="1"/>
    <xf borderId="23" fillId="12" fontId="35" numFmtId="0" xfId="0" applyAlignment="1" applyBorder="1" applyFont="1">
      <alignment shrinkToFit="0" vertical="top" wrapText="1"/>
    </xf>
    <xf borderId="1" fillId="13" fontId="35" numFmtId="0" xfId="0" applyAlignment="1" applyBorder="1" applyFill="1" applyFont="1">
      <alignment horizontal="center" shrinkToFit="0" vertical="top" wrapText="1"/>
    </xf>
    <xf borderId="1" fillId="14" fontId="39" numFmtId="0" xfId="0" applyAlignment="1" applyBorder="1" applyFill="1" applyFont="1">
      <alignment shrinkToFit="0" vertical="top" wrapText="1"/>
    </xf>
    <xf borderId="1" fillId="14" fontId="40" numFmtId="0" xfId="0" applyAlignment="1" applyBorder="1" applyFont="1">
      <alignment shrinkToFit="0" vertical="top" wrapText="1"/>
    </xf>
    <xf borderId="0" fillId="0" fontId="36" numFmtId="0" xfId="0" applyAlignment="1" applyFont="1">
      <alignment horizontal="center" shrinkToFit="0" vertical="top" wrapText="1"/>
    </xf>
    <xf borderId="23" fillId="14" fontId="39" numFmtId="0" xfId="0" applyAlignment="1" applyBorder="1" applyFont="1">
      <alignment shrinkToFit="0" vertical="top" wrapText="1"/>
    </xf>
    <xf borderId="27" fillId="8" fontId="9" numFmtId="0" xfId="0" applyAlignment="1" applyBorder="1" applyFont="1">
      <alignment horizontal="center" shrinkToFit="0" vertical="top" wrapText="1"/>
    </xf>
    <xf borderId="1" fillId="8" fontId="37" numFmtId="0" xfId="0" applyAlignment="1" applyBorder="1" applyFont="1">
      <alignment horizontal="center" shrinkToFit="0" vertical="top" wrapText="1"/>
    </xf>
    <xf borderId="1" fillId="8" fontId="9" numFmtId="0" xfId="0" applyAlignment="1" applyBorder="1" applyFont="1">
      <alignment horizontal="center" shrinkToFit="0" vertical="top" wrapText="1"/>
    </xf>
    <xf borderId="1" fillId="8" fontId="40" numFmtId="0" xfId="0" applyAlignment="1" applyBorder="1" applyFont="1">
      <alignment horizontal="center" shrinkToFit="0" vertical="top" wrapText="1"/>
    </xf>
    <xf borderId="0" fillId="0" fontId="37" numFmtId="0" xfId="0" applyFont="1"/>
    <xf borderId="23" fillId="8" fontId="40" numFmtId="0" xfId="0" applyAlignment="1" applyBorder="1" applyFont="1">
      <alignment horizontal="center" shrinkToFit="0" vertical="top" wrapText="1"/>
    </xf>
    <xf borderId="35" fillId="8" fontId="40" numFmtId="0" xfId="0" applyAlignment="1" applyBorder="1" applyFont="1">
      <alignment horizontal="center" shrinkToFit="0" vertical="top" wrapText="1"/>
    </xf>
    <xf borderId="0" fillId="0" fontId="37" numFmtId="0" xfId="0" applyAlignment="1" applyFont="1">
      <alignment horizontal="center" vertical="top"/>
    </xf>
    <xf borderId="1" fillId="8" fontId="41" numFmtId="0" xfId="0" applyAlignment="1" applyBorder="1" applyFont="1">
      <alignment horizontal="center" shrinkToFit="0" vertical="top" wrapText="1"/>
    </xf>
    <xf borderId="1" fillId="8" fontId="42" numFmtId="0" xfId="0" applyAlignment="1" applyBorder="1" applyFont="1">
      <alignment horizontal="center" shrinkToFit="0" vertical="top" wrapText="1"/>
    </xf>
    <xf borderId="28" fillId="8" fontId="40" numFmtId="0" xfId="0" applyAlignment="1" applyBorder="1" applyFont="1">
      <alignment horizontal="center" shrinkToFit="0" vertical="top" wrapText="1"/>
    </xf>
    <xf borderId="32" fillId="8" fontId="41" numFmtId="0" xfId="0" applyAlignment="1" applyBorder="1" applyFont="1">
      <alignment horizontal="center" shrinkToFit="0" vertical="top" wrapText="1"/>
    </xf>
    <xf borderId="32" fillId="8" fontId="42" numFmtId="0" xfId="0" applyAlignment="1" applyBorder="1" applyFont="1">
      <alignment horizontal="center" shrinkToFit="0" vertical="top" wrapText="1"/>
    </xf>
    <xf borderId="32" fillId="8" fontId="39" numFmtId="0" xfId="0" applyAlignment="1" applyBorder="1" applyFont="1">
      <alignment horizontal="center" shrinkToFit="0" vertical="top" wrapText="1"/>
    </xf>
    <xf borderId="35" fillId="8" fontId="39" numFmtId="0" xfId="0" applyAlignment="1" applyBorder="1" applyFont="1">
      <alignment horizontal="center" shrinkToFit="0" vertical="top" wrapText="1"/>
    </xf>
    <xf borderId="1" fillId="13" fontId="39" numFmtId="0" xfId="0" applyAlignment="1" applyBorder="1" applyFont="1">
      <alignment horizontal="center" shrinkToFit="0" vertical="top" wrapText="1"/>
    </xf>
    <xf borderId="32" fillId="8" fontId="40" numFmtId="0" xfId="0" applyAlignment="1" applyBorder="1" applyFont="1">
      <alignment horizontal="center" shrinkToFit="0" vertical="top" wrapText="1"/>
    </xf>
    <xf borderId="32" fillId="8" fontId="9" numFmtId="0" xfId="0" applyAlignment="1" applyBorder="1" applyFont="1">
      <alignment horizontal="center" shrinkToFit="0" vertical="top" wrapText="1"/>
    </xf>
    <xf borderId="23" fillId="8" fontId="39" numFmtId="0" xfId="0" applyAlignment="1" applyBorder="1" applyFont="1">
      <alignment horizontal="center" shrinkToFit="0" vertical="top" wrapText="1"/>
    </xf>
    <xf borderId="36" fillId="8" fontId="42" numFmtId="0" xfId="0" applyAlignment="1" applyBorder="1" applyFont="1">
      <alignment horizontal="center" shrinkToFit="0" vertical="top" wrapText="1"/>
    </xf>
    <xf borderId="36" fillId="8" fontId="39" numFmtId="0" xfId="0" applyAlignment="1" applyBorder="1" applyFont="1">
      <alignment horizontal="center" shrinkToFit="0" vertical="top" wrapText="1"/>
    </xf>
    <xf borderId="0" fillId="0" fontId="9" numFmtId="0" xfId="0" applyAlignment="1" applyFont="1">
      <alignment horizontal="center" shrinkToFit="0" vertical="top" wrapText="1"/>
    </xf>
    <xf borderId="37" fillId="8" fontId="40" numFmtId="0" xfId="0" applyAlignment="1" applyBorder="1" applyFont="1">
      <alignment horizontal="center" shrinkToFit="0" vertical="top" wrapText="1"/>
    </xf>
    <xf borderId="14" fillId="8" fontId="40" numFmtId="0" xfId="0" applyAlignment="1" applyBorder="1" applyFont="1">
      <alignment horizontal="center" shrinkToFit="0" vertical="top" wrapText="1"/>
    </xf>
    <xf borderId="14" fillId="8" fontId="9" numFmtId="0" xfId="0" applyAlignment="1" applyBorder="1" applyFont="1">
      <alignment horizontal="center" shrinkToFit="0" vertical="top" wrapText="1"/>
    </xf>
    <xf borderId="29" fillId="0" fontId="43" numFmtId="0" xfId="0" applyAlignment="1" applyBorder="1" applyFont="1">
      <alignment horizontal="center" vertical="top"/>
    </xf>
    <xf borderId="0" fillId="0" fontId="44" numFmtId="170" xfId="0" applyAlignment="1" applyFont="1" applyNumberFormat="1">
      <alignment horizontal="center" vertical="top"/>
    </xf>
    <xf borderId="0" fillId="0" fontId="37" numFmtId="171" xfId="0" applyAlignment="1" applyFont="1" applyNumberFormat="1">
      <alignment horizontal="center" vertical="top"/>
    </xf>
    <xf borderId="0" fillId="0" fontId="44" numFmtId="0" xfId="0" applyAlignment="1" applyFont="1">
      <alignment horizontal="center" vertical="top"/>
    </xf>
    <xf borderId="19" fillId="0" fontId="37" numFmtId="0" xfId="0" applyAlignment="1" applyBorder="1" applyFont="1">
      <alignment horizontal="center" vertical="top"/>
    </xf>
    <xf borderId="29" fillId="0" fontId="44" numFmtId="172" xfId="0" applyAlignment="1" applyBorder="1" applyFont="1" applyNumberFormat="1">
      <alignment horizontal="center" vertical="top"/>
    </xf>
    <xf borderId="19" fillId="0" fontId="44" numFmtId="1" xfId="0" applyAlignment="1" applyBorder="1" applyFont="1" applyNumberFormat="1">
      <alignment horizontal="center" vertical="top"/>
    </xf>
    <xf borderId="27" fillId="13" fontId="44" numFmtId="1" xfId="0" applyAlignment="1" applyBorder="1" applyFont="1" applyNumberFormat="1">
      <alignment horizontal="center" vertical="top"/>
    </xf>
    <xf borderId="1" fillId="13" fontId="43" numFmtId="165" xfId="0" applyAlignment="1" applyBorder="1" applyFont="1" applyNumberFormat="1">
      <alignment horizontal="center" vertical="top"/>
    </xf>
    <xf borderId="1" fillId="13" fontId="44" numFmtId="165" xfId="0" applyAlignment="1" applyBorder="1" applyFont="1" applyNumberFormat="1">
      <alignment horizontal="center" vertical="top"/>
    </xf>
    <xf borderId="1" fillId="13" fontId="44" numFmtId="1" xfId="0" applyAlignment="1" applyBorder="1" applyFont="1" applyNumberFormat="1">
      <alignment horizontal="center" vertical="top"/>
    </xf>
    <xf borderId="28" fillId="13" fontId="44" numFmtId="3" xfId="0" applyAlignment="1" applyBorder="1" applyFont="1" applyNumberFormat="1">
      <alignment horizontal="center" vertical="top"/>
    </xf>
    <xf borderId="1" fillId="13" fontId="37" numFmtId="0" xfId="0" applyAlignment="1" applyBorder="1" applyFont="1">
      <alignment horizontal="center" vertical="top"/>
    </xf>
    <xf borderId="1" fillId="13" fontId="37" numFmtId="1" xfId="0" applyAlignment="1" applyBorder="1" applyFont="1" applyNumberFormat="1">
      <alignment horizontal="center" vertical="top"/>
    </xf>
    <xf borderId="29" fillId="0" fontId="44" numFmtId="0" xfId="0" applyAlignment="1" applyBorder="1" applyFont="1">
      <alignment horizontal="center" shrinkToFit="0" vertical="top" wrapText="1"/>
    </xf>
    <xf borderId="0" fillId="0" fontId="45" numFmtId="1" xfId="0" applyAlignment="1" applyFont="1" applyNumberFormat="1">
      <alignment horizontal="center" vertical="top"/>
    </xf>
    <xf borderId="0" fillId="0" fontId="37" numFmtId="172" xfId="0" applyAlignment="1" applyFont="1" applyNumberFormat="1">
      <alignment horizontal="center" vertical="top"/>
    </xf>
    <xf borderId="0" fillId="0" fontId="44" numFmtId="172" xfId="0" applyAlignment="1" applyFont="1" applyNumberFormat="1">
      <alignment horizontal="center" vertical="top"/>
    </xf>
    <xf borderId="29" fillId="0" fontId="44" numFmtId="1" xfId="0" applyAlignment="1" applyBorder="1" applyFont="1" applyNumberFormat="1">
      <alignment horizontal="center" vertical="top"/>
    </xf>
    <xf borderId="0" fillId="0" fontId="43" numFmtId="165" xfId="0" applyAlignment="1" applyFont="1" applyNumberFormat="1">
      <alignment horizontal="center" vertical="top"/>
    </xf>
    <xf borderId="0" fillId="0" fontId="44" numFmtId="165" xfId="0" applyAlignment="1" applyFont="1" applyNumberFormat="1">
      <alignment horizontal="center" vertical="top"/>
    </xf>
    <xf borderId="0" fillId="0" fontId="37" numFmtId="1" xfId="0" applyAlignment="1" applyFont="1" applyNumberFormat="1">
      <alignment horizontal="center" vertical="top"/>
    </xf>
    <xf borderId="19" fillId="0" fontId="44" numFmtId="3" xfId="0" applyAlignment="1" applyBorder="1" applyFont="1" applyNumberFormat="1">
      <alignment horizontal="center" vertical="top"/>
    </xf>
    <xf borderId="19" fillId="0" fontId="37" numFmtId="3" xfId="0" applyAlignment="1" applyBorder="1" applyFont="1" applyNumberFormat="1">
      <alignment horizontal="center" vertical="top"/>
    </xf>
    <xf borderId="0" fillId="0" fontId="46" numFmtId="0" xfId="0" applyFont="1"/>
    <xf borderId="1" fillId="15" fontId="47" numFmtId="0" xfId="0" applyAlignment="1" applyBorder="1" applyFill="1" applyFont="1">
      <alignment horizontal="center" vertical="center"/>
    </xf>
    <xf borderId="1" fillId="15" fontId="47" numFmtId="0" xfId="0" applyAlignment="1" applyBorder="1" applyFont="1">
      <alignment horizontal="center" shrinkToFit="0" vertical="center" wrapText="1"/>
    </xf>
    <xf borderId="0" fillId="0" fontId="5" numFmtId="17" xfId="0" applyAlignment="1" applyFont="1" applyNumberFormat="1">
      <alignment horizontal="center"/>
    </xf>
    <xf borderId="0" fillId="0" fontId="5" numFmtId="173" xfId="0" applyFont="1" applyNumberFormat="1"/>
    <xf borderId="38" fillId="0" fontId="29" numFmtId="0" xfId="0" applyBorder="1" applyFont="1"/>
    <xf borderId="38" fillId="0" fontId="5" numFmtId="0" xfId="0" applyBorder="1" applyFont="1"/>
    <xf borderId="38" fillId="0" fontId="29" numFmtId="173" xfId="0" applyBorder="1" applyFont="1" applyNumberFormat="1"/>
    <xf borderId="38" fillId="0" fontId="5" numFmtId="173" xfId="0" applyBorder="1" applyFont="1" applyNumberFormat="1"/>
    <xf borderId="0" fillId="0" fontId="48" numFmtId="0" xfId="0" applyAlignment="1" applyFont="1">
      <alignment horizontal="center" readingOrder="0"/>
    </xf>
    <xf borderId="0" fillId="0" fontId="49" numFmtId="0" xfId="0" applyAlignment="1" applyFont="1">
      <alignment readingOrder="0"/>
    </xf>
    <xf borderId="0" fillId="0" fontId="49" numFmtId="10" xfId="0" applyAlignment="1" applyFont="1" applyNumberFormat="1">
      <alignment readingOrder="0"/>
    </xf>
    <xf borderId="0" fillId="0" fontId="50" numFmtId="0" xfId="0" applyAlignment="1" applyFont="1">
      <alignment horizontal="right" readingOrder="0"/>
    </xf>
    <xf borderId="0" fillId="0" fontId="50" numFmtId="10" xfId="0" applyAlignment="1" applyFont="1" applyNumberFormat="1">
      <alignment readingOrder="0"/>
    </xf>
    <xf borderId="0" fillId="0" fontId="50" numFmtId="0" xfId="0" applyAlignment="1" applyFont="1">
      <alignment readingOrder="0"/>
    </xf>
    <xf borderId="19" fillId="0" fontId="28" numFmtId="0" xfId="0" applyBorder="1" applyFont="1"/>
    <xf borderId="6" fillId="0" fontId="5" numFmtId="0" xfId="0" applyAlignment="1" applyBorder="1" applyFont="1">
      <alignment shrinkToFit="0" wrapText="1"/>
    </xf>
    <xf borderId="6" fillId="3" fontId="5" numFmtId="0" xfId="0" applyBorder="1" applyFont="1"/>
    <xf borderId="6" fillId="3" fontId="5" numFmtId="0" xfId="0" applyAlignment="1" applyBorder="1" applyFont="1">
      <alignment shrinkToFit="0" wrapText="1"/>
    </xf>
    <xf borderId="0" fillId="0" fontId="51" numFmtId="0" xfId="0" applyFont="1"/>
    <xf borderId="0" fillId="0" fontId="5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0</xdr:row>
      <xdr:rowOff>57150</xdr:rowOff>
    </xdr:from>
    <xdr:ext cx="1143000" cy="200025"/>
    <xdr:pic>
      <xdr:nvPicPr>
        <xdr:cNvPr descr="Logo.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hagash/Library/CloudStorage/OneDrive-BLUMEVENTUREINVESTMENTMANAGERLLP(2)/Blume%20-%20Cashify/6.%20MIS/MIS_May_26.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IS Dashboard"/>
      <sheetName val="Summary"/>
      <sheetName val="AEP Summary"/>
      <sheetName val="BD_1"/>
      <sheetName val="BD_2"/>
      <sheetName val="Spares Reco."/>
      <sheetName val="Ops cost"/>
      <sheetName val="Key Metrics"/>
      <sheetName val="Accessories (2)"/>
      <sheetName val="Summary_2"/>
      <sheetName val="Sheet2"/>
      <sheetName val="Input&gt;&gt;"/>
      <sheetName val="Collected input"/>
      <sheetName val="Analytics"/>
      <sheetName val="Input Sheet"/>
      <sheetName val="Input Sheet_2"/>
      <sheetName val="Check"/>
      <sheetName val="Consolidated"/>
      <sheetName val="Market Place"/>
      <sheetName val="B2B- Non Repair"/>
      <sheetName val="D2C- Total"/>
      <sheetName val="D2C- Online"/>
      <sheetName val="Screen Pro"/>
      <sheetName val="Phone- Pro"/>
      <sheetName val="D2C- Retail"/>
      <sheetName val="Mobile"/>
      <sheetName val="Laptop"/>
      <sheetName val="Other category"/>
      <sheetName val="Laptop_old"/>
      <sheetName val="Scrn Pro"/>
      <sheetName val="Accessories"/>
      <sheetName val="Refurbished"/>
      <sheetName val="Inventory_2"/>
      <sheetName val="Inventory"/>
      <sheetName val="Device Collected"/>
      <sheetName val="D2C- Refurbished"/>
      <sheetName val="Offline Distribu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lick.pstmrk.it/3s/in.fashionnetwork.com%2Fnews%2FBoult-joins-forces-with-cashify-for-retail-expansion%2C1683882.html/AdUd/VOW5AQ/AQ/af7e2804-a62e-40a0-b60f-ca1dd1ba8532/4/akdtGUL-G8" TargetMode="External"/><Relationship Id="rId2" Type="http://schemas.openxmlformats.org/officeDocument/2006/relationships/hyperlink" Target="https://brandequity.economictimes.indiatimes.com/news/research/surge-in-demand-for-refurbished-smartphones-report/113652072" TargetMode="External"/><Relationship Id="rId3" Type="http://schemas.openxmlformats.org/officeDocument/2006/relationships/hyperlink" Target="https://www.stocktitan.net/news/LOGI/renewed-reliable-ievv6y0gc1pb.html" TargetMode="External"/><Relationship Id="rId4" Type="http://schemas.openxmlformats.org/officeDocument/2006/relationships/hyperlink" Target="https://www.livemint.com/market/ipo/gng-electronics-eyes-ipo-route-to-raise-825-crore-files-drhp-with-sebi-11734251122603.html"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esearch.alpha-sense.com/knowledge-workflow/68bc08128a35e5b850d10bf7"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ulfbusiness.com/uaes-revibe-secures-7m-in-series-a-funding-roun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rustpilot.com/review/cashify.in"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4.33"/>
    <col customWidth="1" min="2" max="2" width="41.67"/>
    <col customWidth="1" min="3" max="3" width="58.78"/>
    <col customWidth="1" min="4" max="4" width="39.44"/>
    <col customWidth="1" min="5" max="5" width="10.56"/>
    <col customWidth="1" min="6" max="6" width="16.11"/>
    <col customWidth="1" min="7" max="26" width="10.56"/>
  </cols>
  <sheetData>
    <row r="1" ht="15.75" customHeight="1"/>
    <row r="2" ht="15.75" customHeight="1"/>
    <row r="3" ht="15.75" customHeight="1">
      <c r="B3" s="1" t="s">
        <v>0</v>
      </c>
    </row>
    <row r="4" ht="15.75" customHeight="1"/>
    <row r="5" ht="15.75" customHeight="1">
      <c r="B5" s="2" t="s">
        <v>1</v>
      </c>
      <c r="C5" s="2" t="s">
        <v>2</v>
      </c>
      <c r="D5" s="2" t="s">
        <v>3</v>
      </c>
    </row>
    <row r="6" ht="15.75" customHeight="1">
      <c r="B6" s="3" t="s">
        <v>4</v>
      </c>
      <c r="C6" s="3" t="s">
        <v>5</v>
      </c>
      <c r="D6" s="4" t="s">
        <v>6</v>
      </c>
    </row>
    <row r="7" ht="15.75" customHeight="1">
      <c r="B7" s="3" t="s">
        <v>7</v>
      </c>
      <c r="C7" s="3" t="s">
        <v>8</v>
      </c>
      <c r="D7" s="4" t="s">
        <v>9</v>
      </c>
    </row>
    <row r="8" ht="15.75" customHeight="1">
      <c r="B8" s="3" t="s">
        <v>10</v>
      </c>
      <c r="C8" s="3" t="s">
        <v>11</v>
      </c>
      <c r="D8" s="4" t="s">
        <v>12</v>
      </c>
    </row>
    <row r="9" ht="15.75" customHeight="1">
      <c r="B9" s="3" t="s">
        <v>13</v>
      </c>
      <c r="D9" s="4" t="s">
        <v>14</v>
      </c>
    </row>
    <row r="10" ht="15.75" customHeight="1"/>
    <row r="11" ht="15.75" customHeight="1"/>
    <row r="12" ht="15.75" customHeight="1"/>
    <row r="13" ht="15.75" customHeight="1">
      <c r="B13" s="1"/>
    </row>
    <row r="14" ht="15.75" customHeight="1"/>
    <row r="15" ht="15.75" customHeight="1"/>
    <row r="16" ht="15.75" customHeight="1"/>
    <row r="17" ht="15.75" customHeight="1"/>
    <row r="18" ht="15.75" customHeight="1"/>
    <row r="19" ht="15.75" customHeight="1">
      <c r="B19" s="5"/>
    </row>
    <row r="20" ht="15.75" customHeight="1"/>
    <row r="21" ht="15.75" customHeight="1">
      <c r="B21" s="6" t="s">
        <v>15</v>
      </c>
      <c r="C21" s="7" t="s">
        <v>16</v>
      </c>
      <c r="D21" s="7" t="s">
        <v>17</v>
      </c>
      <c r="E21" s="7" t="s">
        <v>18</v>
      </c>
      <c r="F21" s="8">
        <f>0.8*8400*10^7/12000</f>
        <v>5600000</v>
      </c>
    </row>
    <row r="22" ht="15.75" customHeight="1">
      <c r="B22" s="6" t="s">
        <v>19</v>
      </c>
      <c r="C22" s="7" t="s">
        <v>20</v>
      </c>
      <c r="D22" s="7"/>
      <c r="E22" s="7" t="s">
        <v>18</v>
      </c>
      <c r="F22" s="8">
        <f>1.6*8400*10^7/10000</f>
        <v>13440000</v>
      </c>
    </row>
    <row r="23" ht="15.75" customHeight="1">
      <c r="B23" s="6" t="s">
        <v>21</v>
      </c>
      <c r="C23" s="7"/>
      <c r="D23" s="7"/>
    </row>
    <row r="24" ht="15.75" customHeight="1"/>
    <row r="25" ht="15.75" customHeight="1">
      <c r="B25" s="6" t="s">
        <v>22</v>
      </c>
      <c r="C25" s="3" t="s">
        <v>23</v>
      </c>
    </row>
    <row r="26" ht="15.75" customHeight="1">
      <c r="B26" s="6" t="s">
        <v>24</v>
      </c>
      <c r="C26" s="7" t="s">
        <v>25</v>
      </c>
      <c r="D26" s="3">
        <v>2023.0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6"/>
    <hyperlink r:id="rId2" ref="D7"/>
    <hyperlink r:id="rId3" ref="D8"/>
    <hyperlink r:id="rId4" ref="D9"/>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
    <col customWidth="1" min="2" max="2" width="29.11"/>
    <col customWidth="1" min="3" max="4" width="14.44"/>
    <col customWidth="1" min="5" max="5" width="10.44"/>
    <col customWidth="1" min="6" max="6" width="3.78"/>
    <col customWidth="1" min="7" max="7" width="14.44"/>
    <col customWidth="1" min="8" max="8" width="9.78"/>
    <col customWidth="1" min="9" max="9" width="3.78"/>
    <col customWidth="1" min="10" max="11" width="14.44"/>
    <col customWidth="1" min="12" max="12" width="9.78"/>
    <col customWidth="1" min="13" max="13" width="3.78"/>
    <col customWidth="1" min="14" max="15" width="14.44"/>
    <col customWidth="1" min="16" max="16" width="9.67"/>
    <col customWidth="1" min="17" max="17" width="3.78"/>
    <col customWidth="1" min="18" max="18" width="2.0"/>
    <col customWidth="1" min="19" max="20" width="15.67"/>
    <col customWidth="1" min="21" max="21" width="9.67"/>
    <col customWidth="1" min="22" max="22" width="3.78"/>
    <col customWidth="1" min="23" max="23" width="2.0"/>
    <col customWidth="1" min="24" max="25" width="14.44"/>
    <col customWidth="1" min="26" max="26" width="9.67"/>
    <col customWidth="1" min="27" max="27" width="3.78"/>
    <col customWidth="1" min="28" max="28" width="2.0"/>
    <col customWidth="1" min="29" max="30" width="14.44"/>
    <col customWidth="1" min="31" max="31" width="9.67"/>
    <col customWidth="1" min="32" max="32" width="3.78"/>
  </cols>
  <sheetData>
    <row r="1">
      <c r="A1" s="9"/>
      <c r="B1" s="10" t="s">
        <v>26</v>
      </c>
      <c r="C1" s="11" t="s">
        <v>27</v>
      </c>
      <c r="D1" s="11" t="s">
        <v>28</v>
      </c>
      <c r="E1" s="11" t="s">
        <v>29</v>
      </c>
      <c r="F1" s="11" t="s">
        <v>30</v>
      </c>
      <c r="G1" s="11" t="s">
        <v>31</v>
      </c>
      <c r="H1" s="11" t="s">
        <v>32</v>
      </c>
      <c r="I1" s="11" t="s">
        <v>30</v>
      </c>
      <c r="J1" s="11" t="s">
        <v>33</v>
      </c>
      <c r="K1" s="11" t="s">
        <v>34</v>
      </c>
      <c r="L1" s="11" t="s">
        <v>32</v>
      </c>
      <c r="M1" s="11" t="s">
        <v>30</v>
      </c>
      <c r="N1" s="11" t="s">
        <v>35</v>
      </c>
      <c r="O1" s="11" t="s">
        <v>33</v>
      </c>
      <c r="P1" s="11" t="s">
        <v>36</v>
      </c>
      <c r="Q1" s="11" t="s">
        <v>30</v>
      </c>
      <c r="S1" s="11" t="s">
        <v>37</v>
      </c>
      <c r="T1" s="11" t="s">
        <v>38</v>
      </c>
      <c r="U1" s="11" t="s">
        <v>36</v>
      </c>
      <c r="V1" s="11" t="s">
        <v>30</v>
      </c>
      <c r="X1" s="11" t="s">
        <v>39</v>
      </c>
      <c r="Y1" s="11" t="s">
        <v>40</v>
      </c>
      <c r="Z1" s="11" t="s">
        <v>36</v>
      </c>
      <c r="AA1" s="11" t="s">
        <v>30</v>
      </c>
      <c r="AC1" s="11" t="s">
        <v>41</v>
      </c>
      <c r="AD1" s="11" t="s">
        <v>42</v>
      </c>
      <c r="AE1" s="11" t="s">
        <v>36</v>
      </c>
      <c r="AF1" s="11" t="s">
        <v>30</v>
      </c>
    </row>
    <row r="2">
      <c r="A2" s="9"/>
      <c r="B2" s="12" t="s">
        <v>43</v>
      </c>
      <c r="C2" s="8">
        <v>1.2583886789487011E9</v>
      </c>
      <c r="D2" s="8">
        <v>1.7547165383453524E9</v>
      </c>
      <c r="E2" s="13">
        <v>0.3944153882656507</v>
      </c>
      <c r="G2" s="8">
        <v>1.822912180800674E9</v>
      </c>
      <c r="H2" s="13">
        <v>-0.0374102730639323</v>
      </c>
      <c r="J2" s="8">
        <v>3.4726046271626043E9</v>
      </c>
      <c r="K2" s="8">
        <v>3.6083692849054E9</v>
      </c>
      <c r="L2" s="13">
        <v>-0.03762493442972392</v>
      </c>
      <c r="N2" s="8">
        <v>2.5372150326224017E9</v>
      </c>
      <c r="O2" s="8">
        <v>3.4726046271626043E9</v>
      </c>
      <c r="P2" s="13">
        <v>0.3686678434871984</v>
      </c>
      <c r="S2" s="8">
        <v>1.2384184498813633E10</v>
      </c>
      <c r="T2" s="8">
        <v>1.8132077086736767E10</v>
      </c>
      <c r="U2" s="13">
        <v>0.4641316986575712</v>
      </c>
      <c r="X2" s="8">
        <v>1.7547165383453524E9</v>
      </c>
      <c r="Y2" s="8">
        <v>1.71749974879683E9</v>
      </c>
      <c r="Z2" s="13">
        <v>0.021669167389744448</v>
      </c>
      <c r="AC2" s="8">
        <v>3.4726046271626043E9</v>
      </c>
      <c r="AD2" s="8">
        <v>3.416194537834867E9</v>
      </c>
      <c r="AE2" s="13">
        <v>0.016512551818401278</v>
      </c>
    </row>
    <row r="3">
      <c r="A3" s="9"/>
      <c r="B3" s="12" t="s">
        <v>44</v>
      </c>
      <c r="C3" s="8">
        <v>2.3332369594598007E8</v>
      </c>
      <c r="D3" s="8">
        <v>3.262447113700638E8</v>
      </c>
      <c r="E3" s="13">
        <v>0.3982493721751996</v>
      </c>
      <c r="G3" s="8">
        <v>3.247591757472384E8</v>
      </c>
      <c r="H3" s="13">
        <v>0.004574268361801748</v>
      </c>
      <c r="J3" s="8">
        <v>6.557122167478235E8</v>
      </c>
      <c r="K3" s="8">
        <v>6.43833746117373E8</v>
      </c>
      <c r="L3" s="13">
        <v>0.01844959308530103</v>
      </c>
      <c r="N3" s="8">
        <v>4.6866197777432895E8</v>
      </c>
      <c r="O3" s="8">
        <v>6.557122167478235E8</v>
      </c>
      <c r="P3" s="13">
        <v>0.39911545600902865</v>
      </c>
      <c r="S3" s="8">
        <v>2.393950354326641E9</v>
      </c>
      <c r="T3" s="8">
        <v>3.3891644364979954E9</v>
      </c>
      <c r="U3" s="13">
        <v>0.4157204347920922</v>
      </c>
      <c r="X3" s="8">
        <v>3.262447113700638E8</v>
      </c>
      <c r="Y3" s="8">
        <v>3.097353412577963E8</v>
      </c>
      <c r="Z3" s="13">
        <v>0.05330153816230654</v>
      </c>
      <c r="AC3" s="8">
        <v>6.557122167478235E8</v>
      </c>
      <c r="AD3" s="8">
        <v>6.135363213426188E8</v>
      </c>
      <c r="AE3" s="13">
        <v>0.06874229599465265</v>
      </c>
    </row>
    <row r="4">
      <c r="A4" s="9"/>
      <c r="B4" s="14" t="s">
        <v>45</v>
      </c>
      <c r="C4" s="15">
        <v>0.1854146495825966</v>
      </c>
      <c r="D4" s="15">
        <v>0.18592445232077384</v>
      </c>
      <c r="E4" s="16">
        <v>5.098027381772452</v>
      </c>
      <c r="F4" s="14" t="s">
        <v>46</v>
      </c>
      <c r="G4" s="15">
        <v>0.178154043386004</v>
      </c>
      <c r="H4" s="16">
        <v>77.70408934769851</v>
      </c>
      <c r="I4" s="14" t="s">
        <v>46</v>
      </c>
      <c r="J4" s="15">
        <v>0.1888243227054595</v>
      </c>
      <c r="K4" s="15">
        <v>0.17842789783481164</v>
      </c>
      <c r="L4" s="16">
        <v>103.96424870647874</v>
      </c>
      <c r="M4" s="14" t="s">
        <v>46</v>
      </c>
      <c r="N4" s="15">
        <v>0.18471511943153343</v>
      </c>
      <c r="O4" s="15">
        <v>0.1888243227054595</v>
      </c>
      <c r="P4" s="16">
        <v>41.09203273926082</v>
      </c>
      <c r="Q4" s="14" t="s">
        <v>46</v>
      </c>
      <c r="S4" s="15">
        <v>0.19330706471273698</v>
      </c>
      <c r="T4" s="15">
        <v>0.18691539972423224</v>
      </c>
      <c r="U4" s="16">
        <v>-63.91664988504742</v>
      </c>
      <c r="V4" s="14" t="s">
        <v>46</v>
      </c>
      <c r="X4" s="15">
        <v>0.18592445232077384</v>
      </c>
      <c r="Y4" s="15">
        <v>0.1803408364250282</v>
      </c>
      <c r="Z4" s="16">
        <v>55.836158957456306</v>
      </c>
      <c r="AA4" s="14" t="s">
        <v>46</v>
      </c>
      <c r="AC4" s="17">
        <v>0.1888243227054595</v>
      </c>
      <c r="AD4" s="15">
        <v>0.1795964236075001</v>
      </c>
      <c r="AE4" s="16">
        <v>92.27899097959403</v>
      </c>
      <c r="AF4" s="14" t="s">
        <v>46</v>
      </c>
    </row>
    <row r="5">
      <c r="A5" s="9"/>
      <c r="B5" s="12" t="s">
        <v>47</v>
      </c>
      <c r="C5" s="8">
        <v>1.859227320795561E8</v>
      </c>
      <c r="D5" s="8">
        <v>2.7123539638158655E8</v>
      </c>
      <c r="E5" s="13">
        <v>0.4588608576681481</v>
      </c>
      <c r="G5" s="8">
        <v>2.5921814251535276E8</v>
      </c>
      <c r="H5" s="13">
        <v>0.04635961723058046</v>
      </c>
      <c r="J5" s="8">
        <v>5.472601991324012E8</v>
      </c>
      <c r="K5" s="8">
        <v>5.141205265352577E8</v>
      </c>
      <c r="L5" s="13">
        <v>0.06445895638611665</v>
      </c>
      <c r="N5" s="8">
        <v>3.7282829131060743E8</v>
      </c>
      <c r="O5" s="8">
        <v>5.472601991324012E8</v>
      </c>
      <c r="P5" s="13">
        <v>0.4678612430634257</v>
      </c>
      <c r="S5" s="8">
        <v>1.9216857217139778E9</v>
      </c>
      <c r="T5" s="8">
        <v>2.748882414249364E9</v>
      </c>
      <c r="U5" s="13">
        <v>0.4304536809471624</v>
      </c>
      <c r="X5" s="8">
        <v>2.7123539638158655E8</v>
      </c>
      <c r="Y5" s="8">
        <v>2.550533267862951E8</v>
      </c>
      <c r="Z5" s="13">
        <v>0.06344582836533696</v>
      </c>
      <c r="AC5" s="8">
        <v>5.472601991324012E8</v>
      </c>
      <c r="AD5" s="8">
        <v>5.041241873047854E8</v>
      </c>
      <c r="AE5" s="13">
        <v>0.0855662412435223</v>
      </c>
    </row>
    <row r="6">
      <c r="A6" s="9"/>
      <c r="B6" s="14" t="s">
        <v>48</v>
      </c>
      <c r="C6" s="15">
        <v>0.1477466661849517</v>
      </c>
      <c r="D6" s="15">
        <v>0.15457504984671416</v>
      </c>
      <c r="E6" s="16">
        <v>68.28383661762471</v>
      </c>
      <c r="F6" s="14" t="s">
        <v>46</v>
      </c>
      <c r="G6" s="15">
        <v>0.14220001667962792</v>
      </c>
      <c r="H6" s="16">
        <v>123.75033167086241</v>
      </c>
      <c r="I6" s="14" t="s">
        <v>46</v>
      </c>
      <c r="J6" s="15">
        <v>0.1575935811556977</v>
      </c>
      <c r="K6" s="15">
        <v>0.14248001962713092</v>
      </c>
      <c r="L6" s="16">
        <v>151.1356152856677</v>
      </c>
      <c r="M6" s="14" t="s">
        <v>46</v>
      </c>
      <c r="N6" s="15">
        <v>0.14694390759826986</v>
      </c>
      <c r="O6" s="15">
        <v>0.1575935811556977</v>
      </c>
      <c r="P6" s="16">
        <v>106.49673557427825</v>
      </c>
      <c r="Q6" s="14" t="s">
        <v>46</v>
      </c>
      <c r="S6" s="15">
        <v>0.155172568843598</v>
      </c>
      <c r="T6" s="15">
        <v>0.15160328301604858</v>
      </c>
      <c r="U6" s="16">
        <v>-35.69285827549423</v>
      </c>
      <c r="V6" s="14" t="s">
        <v>46</v>
      </c>
      <c r="X6" s="15">
        <v>0.15457504984671416</v>
      </c>
      <c r="Y6" s="15">
        <v>0.1485026865156568</v>
      </c>
      <c r="Z6" s="16">
        <v>60.72363331057373</v>
      </c>
      <c r="AA6" s="14" t="s">
        <v>46</v>
      </c>
      <c r="AC6" s="17">
        <v>0.1575935811556977</v>
      </c>
      <c r="AD6" s="15">
        <v>0.1475689342985402</v>
      </c>
      <c r="AE6" s="16">
        <v>100.24646857157482</v>
      </c>
      <c r="AF6" s="14" t="s">
        <v>46</v>
      </c>
    </row>
    <row r="7">
      <c r="A7" s="9"/>
      <c r="B7" s="12" t="s">
        <v>49</v>
      </c>
      <c r="C7" s="8">
        <v>1.1559373706126818E8</v>
      </c>
      <c r="D7" s="8">
        <v>1.811394814636615E8</v>
      </c>
      <c r="E7" s="13">
        <v>0.5670354300220615</v>
      </c>
      <c r="G7" s="8">
        <v>1.5569719506828612E8</v>
      </c>
      <c r="H7" s="13">
        <v>0.16340876522673908</v>
      </c>
      <c r="J7" s="8">
        <v>3.5015991476070374E8</v>
      </c>
      <c r="K7" s="8">
        <v>3.090840070611361E8</v>
      </c>
      <c r="L7" s="13">
        <v>0.13289561012919981</v>
      </c>
      <c r="N7" s="8">
        <v>2.309769387348907E8</v>
      </c>
      <c r="O7" s="8">
        <v>3.5015991476070374E8</v>
      </c>
      <c r="P7" s="13">
        <v>0.515995132148704</v>
      </c>
      <c r="S7" s="8">
        <v>1.205296258562332E9</v>
      </c>
      <c r="T7" s="8">
        <v>1.6871300381478593E9</v>
      </c>
      <c r="U7" s="13">
        <v>0.3997637727343939</v>
      </c>
      <c r="X7" s="8">
        <v>1.811394814636615E8</v>
      </c>
      <c r="Y7" s="8">
        <v>1.490965178751439E8</v>
      </c>
      <c r="Z7" s="13">
        <v>0.21491423170158108</v>
      </c>
      <c r="AC7" s="8">
        <v>3.5015991476070374E8</v>
      </c>
      <c r="AD7" s="8">
        <v>2.920938900888704E8</v>
      </c>
      <c r="AE7" s="13">
        <v>0.19879232891234588</v>
      </c>
    </row>
    <row r="8">
      <c r="A8" s="9"/>
      <c r="B8" s="14" t="s">
        <v>50</v>
      </c>
      <c r="C8" s="15">
        <v>0.09185853226034976</v>
      </c>
      <c r="D8" s="15">
        <v>0.10323005311984514</v>
      </c>
      <c r="E8" s="16">
        <v>113.71520859495374</v>
      </c>
      <c r="F8" s="14" t="s">
        <v>46</v>
      </c>
      <c r="G8" s="15">
        <v>0.08541124290469086</v>
      </c>
      <c r="H8" s="16">
        <v>178.18810215154275</v>
      </c>
      <c r="I8" s="14" t="s">
        <v>46</v>
      </c>
      <c r="J8" s="15">
        <v>0.10083495023354053</v>
      </c>
      <c r="K8" s="15">
        <v>0.08565753188125792</v>
      </c>
      <c r="L8" s="16">
        <v>151.77418352282604</v>
      </c>
      <c r="M8" s="14" t="s">
        <v>46</v>
      </c>
      <c r="N8" s="15">
        <v>0.09103561809507282</v>
      </c>
      <c r="O8" s="15">
        <v>0.10083495023354053</v>
      </c>
      <c r="P8" s="16">
        <v>97.99332138467703</v>
      </c>
      <c r="Q8" s="14" t="s">
        <v>46</v>
      </c>
      <c r="S8" s="15">
        <v>0.09732544429371151</v>
      </c>
      <c r="T8" s="15">
        <v>0.09304670557472754</v>
      </c>
      <c r="U8" s="16">
        <v>-42.787387189839734</v>
      </c>
      <c r="V8" s="14" t="s">
        <v>46</v>
      </c>
      <c r="X8" s="15">
        <v>0.10323005311984514</v>
      </c>
      <c r="Y8" s="15">
        <v>0.08681021233312626</v>
      </c>
      <c r="Z8" s="16">
        <v>164.19840786718876</v>
      </c>
      <c r="AA8" s="14" t="s">
        <v>46</v>
      </c>
      <c r="AC8" s="17">
        <v>0.10083495023354053</v>
      </c>
      <c r="AD8" s="15">
        <v>0.08550270977073665</v>
      </c>
      <c r="AE8" s="16">
        <v>153.32240462803875</v>
      </c>
      <c r="AF8" s="14" t="s">
        <v>46</v>
      </c>
    </row>
    <row r="9">
      <c r="A9" s="9"/>
      <c r="B9" s="12" t="s">
        <v>51</v>
      </c>
      <c r="C9" s="8">
        <v>8.550999126286085E7</v>
      </c>
      <c r="D9" s="8">
        <v>1.4971275775573155E8</v>
      </c>
      <c r="E9" s="13">
        <v>0.7508218109332867</v>
      </c>
      <c r="G9" s="8">
        <v>1.0984824637125476E8</v>
      </c>
      <c r="H9" s="13">
        <v>0.36290530528586196</v>
      </c>
      <c r="J9" s="8">
        <v>2.825263167717738E8</v>
      </c>
      <c r="K9" s="8">
        <v>2.2090731091168508E8</v>
      </c>
      <c r="L9" s="13">
        <v>0.2789360189383816</v>
      </c>
      <c r="N9" s="8">
        <v>1.721920425195095E8</v>
      </c>
      <c r="O9" s="8">
        <v>2.825263167717738E8</v>
      </c>
      <c r="P9" s="13">
        <v>0.6407629100500585</v>
      </c>
      <c r="S9" s="8">
        <v>8.728531914447782E8</v>
      </c>
      <c r="T9" s="8">
        <v>1.3218201380361006E9</v>
      </c>
      <c r="U9" s="13">
        <v>0.5143670791283652</v>
      </c>
      <c r="X9" s="8">
        <v>1.4971275775573155E8</v>
      </c>
      <c r="Y9" s="8">
        <v>1.19387396233332E8</v>
      </c>
      <c r="Z9" s="13">
        <v>0.25400806516570107</v>
      </c>
      <c r="AC9" s="8">
        <v>2.825263167717738E8</v>
      </c>
      <c r="AD9" s="8">
        <v>1.135892464445596E8</v>
      </c>
      <c r="AE9" s="13">
        <v>1.4872628846047382</v>
      </c>
    </row>
    <row r="10">
      <c r="A10" s="9"/>
      <c r="B10" s="14" t="s">
        <v>52</v>
      </c>
      <c r="C10" s="15">
        <v>0.06795197119406596</v>
      </c>
      <c r="D10" s="15">
        <v>0.08532019530453985</v>
      </c>
      <c r="E10" s="16">
        <v>173.68224110473895</v>
      </c>
      <c r="F10" s="14" t="s">
        <v>46</v>
      </c>
      <c r="G10" s="15">
        <v>0.060259757726236894</v>
      </c>
      <c r="H10" s="16">
        <v>250.60437578302958</v>
      </c>
      <c r="I10" s="14" t="s">
        <v>46</v>
      </c>
      <c r="J10" s="15">
        <v>0.08135861899217142</v>
      </c>
      <c r="K10" s="15">
        <v>0.06122081568418976</v>
      </c>
      <c r="L10" s="16">
        <v>201.37803307981665</v>
      </c>
      <c r="M10" s="14" t="s">
        <v>46</v>
      </c>
      <c r="N10" s="15">
        <v>0.06786655459058041</v>
      </c>
      <c r="O10" s="15">
        <v>0.08135861899217142</v>
      </c>
      <c r="P10" s="16">
        <v>134.92064401591009</v>
      </c>
      <c r="Q10" s="14" t="s">
        <v>46</v>
      </c>
      <c r="S10" s="15">
        <v>0.070481281309108</v>
      </c>
      <c r="T10" s="15">
        <v>0.07289954326319208</v>
      </c>
      <c r="U10" s="16">
        <v>24.182619540840804</v>
      </c>
      <c r="V10" s="14" t="s">
        <v>46</v>
      </c>
      <c r="X10" s="15">
        <v>0.08532019530453985</v>
      </c>
      <c r="Y10" s="15">
        <v>0.06951232238430724</v>
      </c>
      <c r="Z10" s="16">
        <v>158.07872920232612</v>
      </c>
      <c r="AA10" s="14" t="s">
        <v>46</v>
      </c>
      <c r="AC10" s="17">
        <v>0.08135861899217142</v>
      </c>
      <c r="AD10" s="15">
        <v>0.03325022775680414</v>
      </c>
      <c r="AE10" s="16">
        <v>481.0839123536728</v>
      </c>
      <c r="AF10" s="14" t="s">
        <v>46</v>
      </c>
    </row>
    <row r="11">
      <c r="A11" s="9"/>
      <c r="B11" s="12" t="s">
        <v>53</v>
      </c>
      <c r="C11" s="8">
        <v>1.0518724825375319E7</v>
      </c>
      <c r="D11" s="8">
        <v>6.0703547075920105E7</v>
      </c>
      <c r="E11" s="13">
        <v>4.770998679372159</v>
      </c>
      <c r="G11" s="8">
        <v>2.953316560322106E7</v>
      </c>
      <c r="H11" s="13">
        <v>1.0554365180988055</v>
      </c>
      <c r="J11" s="8">
        <v>1.088531186106781E8</v>
      </c>
      <c r="K11" s="8">
        <v>6.027714937561768E7</v>
      </c>
      <c r="L11" s="13">
        <v>0.8058770153903392</v>
      </c>
      <c r="N11" s="8">
        <v>2.176880958497265E7</v>
      </c>
      <c r="O11" s="8">
        <v>1.088531186106781E8</v>
      </c>
      <c r="P11" s="13">
        <v>4.000416682675249</v>
      </c>
      <c r="S11" s="8">
        <v>6.650740335053771E7</v>
      </c>
      <c r="T11" s="8">
        <v>3.516671202452483E8</v>
      </c>
      <c r="U11" s="13">
        <v>4.287638706802784</v>
      </c>
      <c r="X11" s="8">
        <v>6.0703547075920105E7</v>
      </c>
      <c r="Y11" s="8">
        <v>2.812145959802246E7</v>
      </c>
      <c r="Z11" s="13">
        <v>1.1586200696420774</v>
      </c>
      <c r="AC11" s="8">
        <v>1.088531186106781E8</v>
      </c>
      <c r="AD11" s="8">
        <v>-6.894262682605946E7</v>
      </c>
      <c r="AE11" s="13">
        <v>-2.578894272266588</v>
      </c>
    </row>
    <row r="12">
      <c r="A12" s="9"/>
      <c r="B12" s="14" t="s">
        <v>54</v>
      </c>
      <c r="C12" s="15">
        <v>0.008358883865804485</v>
      </c>
      <c r="D12" s="15">
        <v>0.034594503299753374</v>
      </c>
      <c r="E12" s="16">
        <v>262.35619433948887</v>
      </c>
      <c r="F12" s="14" t="s">
        <v>46</v>
      </c>
      <c r="G12" s="15">
        <v>0.016201090713129838</v>
      </c>
      <c r="H12" s="16">
        <v>183.93412586623535</v>
      </c>
      <c r="I12" s="14" t="s">
        <v>46</v>
      </c>
      <c r="J12" s="15">
        <v>0.03134624591559673</v>
      </c>
      <c r="K12" s="15">
        <v>0.016704817222497215</v>
      </c>
      <c r="L12" s="16">
        <v>146.41428693099516</v>
      </c>
      <c r="M12" s="14" t="s">
        <v>46</v>
      </c>
      <c r="N12" s="15">
        <v>0.00857980474854469</v>
      </c>
      <c r="O12" s="15">
        <v>0.03134624591559673</v>
      </c>
      <c r="P12" s="16">
        <v>227.66441167052045</v>
      </c>
      <c r="Q12" s="14" t="s">
        <v>46</v>
      </c>
      <c r="S12" s="15">
        <v>0.005370349848785676</v>
      </c>
      <c r="T12" s="15">
        <v>0.01939475100194039</v>
      </c>
      <c r="U12" s="16">
        <v>140.24401153154713</v>
      </c>
      <c r="V12" s="14" t="s">
        <v>46</v>
      </c>
      <c r="X12" s="15">
        <v>0.034594503299753374</v>
      </c>
      <c r="Y12" s="15">
        <v>0.01637348687691078</v>
      </c>
      <c r="Z12" s="16">
        <v>182.21016422842595</v>
      </c>
      <c r="AA12" s="14" t="s">
        <v>46</v>
      </c>
      <c r="AC12" s="17">
        <v>0.03134624591559673</v>
      </c>
      <c r="AD12" s="15">
        <v>-0.02018111851140488</v>
      </c>
      <c r="AE12" s="16">
        <v>515.2736442700161</v>
      </c>
      <c r="AF12" s="14" t="s">
        <v>46</v>
      </c>
    </row>
    <row r="13">
      <c r="A13" s="9"/>
      <c r="B13" s="12" t="s">
        <v>55</v>
      </c>
      <c r="C13" s="8">
        <v>1.3512024825375319E7</v>
      </c>
      <c r="D13" s="8">
        <v>2.7583670075920105E7</v>
      </c>
      <c r="E13" s="13">
        <v>1.041416474022347</v>
      </c>
      <c r="G13" s="8">
        <v>2.9418745541368306E7</v>
      </c>
      <c r="H13" s="13">
        <v>-0.062377760563166684</v>
      </c>
      <c r="J13" s="8">
        <v>7.75167886106781E7</v>
      </c>
      <c r="K13" s="8">
        <v>5.987000637656381E7</v>
      </c>
      <c r="L13" s="13">
        <v>0.29475163445150643</v>
      </c>
      <c r="N13" s="8">
        <v>3.364308958497265E7</v>
      </c>
      <c r="O13" s="8">
        <v>7.75167886106781E7</v>
      </c>
      <c r="P13" s="13">
        <v>1.3040924471247881</v>
      </c>
      <c r="S13" s="8">
        <v>1.5980576835053772E8</v>
      </c>
      <c r="T13" s="8">
        <v>3.453848678952483E8</v>
      </c>
      <c r="U13" s="13">
        <v>1.1612791043790014</v>
      </c>
      <c r="X13" s="8">
        <v>2.7583670075920105E7</v>
      </c>
      <c r="Y13" s="8">
        <v>2.682070978413463E7</v>
      </c>
      <c r="Z13" s="13">
        <v>0.028446685338536115</v>
      </c>
      <c r="AC13" s="8">
        <v>7.75167886106781E7</v>
      </c>
      <c r="AD13" s="8">
        <v>-7.15298845024616E7</v>
      </c>
      <c r="AE13" s="13">
        <v>-2.083697941774399</v>
      </c>
    </row>
    <row r="14">
      <c r="A14" s="9"/>
      <c r="B14" s="14" t="s">
        <v>56</v>
      </c>
      <c r="C14" s="15">
        <v>0.010737560700771484</v>
      </c>
      <c r="D14" s="15">
        <v>0.01571972992397434</v>
      </c>
      <c r="E14" s="16">
        <v>49.82169223202855</v>
      </c>
      <c r="F14" s="14" t="s">
        <v>46</v>
      </c>
      <c r="G14" s="15">
        <v>0.016138322981882083</v>
      </c>
      <c r="H14" s="16">
        <v>-4.1859305790774295</v>
      </c>
      <c r="I14" s="14" t="s">
        <v>46</v>
      </c>
      <c r="J14" s="15">
        <v>0.022322376697981747</v>
      </c>
      <c r="K14" s="15">
        <v>0.01659198425920905</v>
      </c>
      <c r="L14" s="16">
        <v>57.30392438772696</v>
      </c>
      <c r="M14" s="14" t="s">
        <v>46</v>
      </c>
      <c r="N14" s="15">
        <v>0.01325984954069896</v>
      </c>
      <c r="O14" s="15">
        <v>0.022322376697981747</v>
      </c>
      <c r="P14" s="16">
        <v>90.62527157282787</v>
      </c>
      <c r="Q14" s="14" t="s">
        <v>46</v>
      </c>
      <c r="S14" s="15">
        <v>0.012904020314445947</v>
      </c>
      <c r="T14" s="15">
        <v>0.019048279259075623</v>
      </c>
      <c r="U14" s="16">
        <v>61.442589446296765</v>
      </c>
      <c r="V14" s="14" t="s">
        <v>46</v>
      </c>
      <c r="X14" s="15">
        <v>0.01571972992397434</v>
      </c>
      <c r="Y14" s="15">
        <v>0.01561613607391995</v>
      </c>
      <c r="Z14" s="16">
        <v>1.035938500543905</v>
      </c>
      <c r="AA14" s="14" t="s">
        <v>46</v>
      </c>
      <c r="AC14" s="17">
        <v>0.022322376697981747</v>
      </c>
      <c r="AD14" s="15">
        <v>-0.02093846931439571</v>
      </c>
      <c r="AE14" s="16">
        <v>432.60846012377453</v>
      </c>
      <c r="AF14" s="14" t="s">
        <v>46</v>
      </c>
    </row>
    <row r="15">
      <c r="A15" s="9"/>
      <c r="B15" s="12" t="s">
        <v>57</v>
      </c>
      <c r="C15" s="8">
        <v>1.425122372182945E9</v>
      </c>
      <c r="D15" s="8">
        <v>2.4317893030010076E9</v>
      </c>
      <c r="J15" s="8">
        <v>2.4317893030010076E9</v>
      </c>
      <c r="X15" s="8">
        <v>2.4317893030010076E9</v>
      </c>
      <c r="AC15" s="8">
        <v>0.0</v>
      </c>
    </row>
    <row r="16">
      <c r="A16" s="9"/>
      <c r="B16" s="12" t="s">
        <v>58</v>
      </c>
      <c r="C16" s="8">
        <v>41.981302083714475</v>
      </c>
      <c r="D16" s="8">
        <v>52.98033907393654</v>
      </c>
      <c r="J16" s="8">
        <v>52.98033907393654</v>
      </c>
      <c r="X16" s="8">
        <v>52.98033907393654</v>
      </c>
      <c r="AC16" s="8">
        <v>0.0</v>
      </c>
    </row>
    <row r="17">
      <c r="A17" s="9"/>
      <c r="B17" s="12" t="s">
        <v>59</v>
      </c>
      <c r="C17" s="8">
        <v>1.44700689003E9</v>
      </c>
      <c r="D17" s="8">
        <v>5.99600924E8</v>
      </c>
      <c r="J17" s="8">
        <v>5.99600924E8</v>
      </c>
      <c r="X17" s="8">
        <v>5.99600924E8</v>
      </c>
      <c r="AC17" s="8">
        <v>0.0</v>
      </c>
    </row>
    <row r="18">
      <c r="A18" s="9"/>
      <c r="B18" s="12" t="s">
        <v>60</v>
      </c>
      <c r="C18" s="8">
        <v>8.922139141E7</v>
      </c>
      <c r="D18" s="8">
        <v>2.909392898E8</v>
      </c>
      <c r="J18" s="8">
        <v>2.909392898E8</v>
      </c>
      <c r="X18" s="8">
        <v>2.909392898E8</v>
      </c>
      <c r="AC18" s="8">
        <v>0.0</v>
      </c>
    </row>
    <row r="19">
      <c r="A19" s="9"/>
    </row>
    <row r="20">
      <c r="A20" s="9"/>
      <c r="B20" s="10" t="s">
        <v>61</v>
      </c>
      <c r="C20" s="11" t="s">
        <v>27</v>
      </c>
      <c r="D20" s="11" t="s">
        <v>28</v>
      </c>
      <c r="E20" s="11" t="s">
        <v>29</v>
      </c>
      <c r="F20" s="11" t="s">
        <v>30</v>
      </c>
      <c r="G20" s="11" t="s">
        <v>31</v>
      </c>
      <c r="H20" s="11" t="s">
        <v>32</v>
      </c>
      <c r="I20" s="11" t="s">
        <v>30</v>
      </c>
      <c r="J20" s="11" t="s">
        <v>33</v>
      </c>
      <c r="K20" s="11" t="s">
        <v>34</v>
      </c>
      <c r="L20" s="11" t="s">
        <v>32</v>
      </c>
      <c r="M20" s="11" t="s">
        <v>30</v>
      </c>
      <c r="N20" s="11" t="s">
        <v>35</v>
      </c>
      <c r="O20" s="11" t="s">
        <v>33</v>
      </c>
      <c r="P20" s="11" t="s">
        <v>36</v>
      </c>
      <c r="Q20" s="11" t="s">
        <v>30</v>
      </c>
      <c r="S20" s="11" t="s">
        <v>37</v>
      </c>
      <c r="T20" s="11" t="s">
        <v>38</v>
      </c>
      <c r="U20" s="11" t="s">
        <v>36</v>
      </c>
      <c r="V20" s="11" t="s">
        <v>30</v>
      </c>
      <c r="X20" s="11" t="s">
        <v>39</v>
      </c>
      <c r="Y20" s="11" t="s">
        <v>40</v>
      </c>
      <c r="Z20" s="11" t="s">
        <v>36</v>
      </c>
      <c r="AA20" s="11" t="s">
        <v>30</v>
      </c>
      <c r="AC20" s="11" t="s">
        <v>41</v>
      </c>
      <c r="AD20" s="11" t="s">
        <v>42</v>
      </c>
      <c r="AE20" s="11" t="s">
        <v>36</v>
      </c>
      <c r="AF20" s="11" t="s">
        <v>30</v>
      </c>
    </row>
    <row r="21" ht="15.75" customHeight="1">
      <c r="A21" s="9"/>
      <c r="B21" s="10" t="s">
        <v>43</v>
      </c>
    </row>
    <row r="22" ht="15.75" customHeight="1">
      <c r="A22" s="9"/>
      <c r="B22" s="12" t="s">
        <v>62</v>
      </c>
      <c r="C22" s="8">
        <v>4.522889597001652E8</v>
      </c>
      <c r="D22" s="8">
        <v>5.363887859249999E8</v>
      </c>
      <c r="E22" s="13">
        <v>0.18594269088634574</v>
      </c>
      <c r="G22" s="8">
        <v>6.199540256294574E8</v>
      </c>
      <c r="H22" s="13">
        <v>-0.13479263985682044</v>
      </c>
      <c r="J22" s="8">
        <v>1.0931903341449997E9</v>
      </c>
      <c r="K22" s="8">
        <v>1.2324393338900685E9</v>
      </c>
      <c r="L22" s="13">
        <v>-0.11298649427679619</v>
      </c>
      <c r="N22" s="8">
        <v>9.113669032867396E8</v>
      </c>
      <c r="O22" s="8">
        <v>1.0931903341449997E9</v>
      </c>
      <c r="P22" s="13">
        <v>0.19950629126703512</v>
      </c>
      <c r="S22" s="8">
        <v>4.2432060582077236E9</v>
      </c>
      <c r="T22" s="8">
        <v>6.074537622130736E9</v>
      </c>
      <c r="U22" s="13">
        <v>0.4315914755967669</v>
      </c>
      <c r="X22" s="8">
        <v>5.363887859249999E8</v>
      </c>
      <c r="Y22" s="8">
        <v>6.263680259498452E8</v>
      </c>
      <c r="Z22" s="13">
        <v>-0.14365235180770575</v>
      </c>
      <c r="AC22" s="8">
        <v>1.0931903341449997E9</v>
      </c>
      <c r="AD22" s="8">
        <v>1.230676238583635E9</v>
      </c>
      <c r="AE22" s="13">
        <v>-0.11171573816755054</v>
      </c>
    </row>
    <row r="23" ht="15.75" customHeight="1">
      <c r="A23" s="9"/>
      <c r="B23" s="12" t="s">
        <v>63</v>
      </c>
      <c r="C23" s="8">
        <v>7.131171847705696E8</v>
      </c>
      <c r="D23" s="8">
        <v>1.0634158075679746E9</v>
      </c>
      <c r="E23" s="13">
        <v>0.4912216817634345</v>
      </c>
      <c r="G23" s="8">
        <v>1.0830783785198143E9</v>
      </c>
      <c r="H23" s="13">
        <v>-0.018154337988642633</v>
      </c>
      <c r="J23" s="8">
        <v>2.086023878415396E9</v>
      </c>
      <c r="K23" s="8">
        <v>2.1378118968073106E9</v>
      </c>
      <c r="L23" s="13">
        <v>-0.024224777899896965</v>
      </c>
      <c r="N23" s="8">
        <v>1.4440439762797296E9</v>
      </c>
      <c r="O23" s="8">
        <v>2.086023878415396E9</v>
      </c>
      <c r="P23" s="13">
        <v>0.444570880583284</v>
      </c>
      <c r="S23" s="8">
        <v>7.113283415960287E9</v>
      </c>
      <c r="T23" s="8">
        <v>1.0624721542580603E10</v>
      </c>
      <c r="U23" s="13">
        <v>0.49364518764170096</v>
      </c>
      <c r="X23" s="8">
        <v>1.0634158075679746E9</v>
      </c>
      <c r="Y23" s="8">
        <v>9.662427541037288E8</v>
      </c>
      <c r="Z23" s="13">
        <v>0.10056795049850797</v>
      </c>
      <c r="AC23" s="8">
        <v>2.086023878415396E9</v>
      </c>
      <c r="AD23" s="8">
        <v>1.942509218629541E9</v>
      </c>
      <c r="AE23" s="13">
        <v>0.07388107011770373</v>
      </c>
    </row>
    <row r="24" ht="15.75" customHeight="1">
      <c r="A24" s="9"/>
      <c r="B24" s="12" t="s">
        <v>64</v>
      </c>
      <c r="C24" s="8">
        <v>6.0307318050847456E7</v>
      </c>
      <c r="D24" s="8">
        <v>9.469107076271187E7</v>
      </c>
      <c r="E24" s="13">
        <v>0.5701422948849115</v>
      </c>
      <c r="G24" s="8">
        <v>7.68983644899873E7</v>
      </c>
      <c r="H24" s="13">
        <v>0.23137951490556485</v>
      </c>
      <c r="J24" s="8">
        <v>1.8288760254237288E8</v>
      </c>
      <c r="K24" s="8">
        <v>1.5303535903452918E8</v>
      </c>
      <c r="L24" s="13">
        <v>0.1950676216018037</v>
      </c>
      <c r="N24" s="8">
        <v>1.1733891262711865E8</v>
      </c>
      <c r="O24" s="8">
        <v>1.8288760254237288E8</v>
      </c>
      <c r="P24" s="13">
        <v>0.5586270440698207</v>
      </c>
      <c r="S24" s="8">
        <v>6.628438781355932E8</v>
      </c>
      <c r="T24" s="8">
        <v>8.850899033898306E8</v>
      </c>
      <c r="U24" s="13">
        <v>0.3352916615589141</v>
      </c>
      <c r="X24" s="8">
        <v>9.469107076271187E7</v>
      </c>
      <c r="Y24" s="8">
        <v>8.016586810455911E7</v>
      </c>
      <c r="Z24" s="13">
        <v>0.18118936402220154</v>
      </c>
      <c r="AC24" s="8">
        <v>1.8288760254237288E8</v>
      </c>
      <c r="AD24" s="8">
        <v>1.537374054186927E8</v>
      </c>
      <c r="AE24" s="13">
        <v>0.18961031015380891</v>
      </c>
    </row>
    <row r="25" ht="15.75" customHeight="1">
      <c r="A25" s="9"/>
      <c r="B25" s="12" t="s">
        <v>65</v>
      </c>
      <c r="C25" s="8">
        <v>3.1398343127118636E7</v>
      </c>
      <c r="D25" s="8">
        <v>5.7633645669666104E7</v>
      </c>
      <c r="E25" s="13">
        <v>0.8355632791301058</v>
      </c>
      <c r="G25" s="8">
        <v>4.079705584364552E7</v>
      </c>
      <c r="H25" s="13">
        <v>0.41269129543432537</v>
      </c>
      <c r="J25" s="8">
        <v>1.0618028514983559E8</v>
      </c>
      <c r="K25" s="8">
        <v>8.075681305398677E7</v>
      </c>
      <c r="L25" s="13">
        <v>0.3148151980545959</v>
      </c>
      <c r="N25" s="8">
        <v>6.144830122881355E7</v>
      </c>
      <c r="O25" s="8">
        <v>1.0618028514983559E8</v>
      </c>
      <c r="P25" s="13">
        <v>0.727961278448604</v>
      </c>
      <c r="S25" s="8">
        <v>3.3649268836392796E8</v>
      </c>
      <c r="T25" s="8">
        <v>5.0742424589559823E8</v>
      </c>
      <c r="U25" s="13">
        <v>0.507980005041899</v>
      </c>
      <c r="X25" s="8">
        <v>5.7633645669666104E7</v>
      </c>
      <c r="Y25" s="8">
        <v>4.344622733869725E7</v>
      </c>
      <c r="Z25" s="13">
        <v>0.326551215146182</v>
      </c>
      <c r="AC25" s="8">
        <v>1.0618028514983559E8</v>
      </c>
      <c r="AD25" s="8">
        <v>8.625473600299764E7</v>
      </c>
      <c r="AE25" s="13">
        <v>0.23100817497308745</v>
      </c>
    </row>
    <row r="26" ht="15.75" hidden="1" customHeight="1">
      <c r="A26" s="9"/>
      <c r="B26" s="12" t="s">
        <v>66</v>
      </c>
      <c r="C26" s="8">
        <v>1276873.3</v>
      </c>
      <c r="D26" s="8">
        <v>2587228.42</v>
      </c>
      <c r="E26" s="13">
        <v>1.0262217245830105</v>
      </c>
      <c r="G26" s="8">
        <v>2184356.317769594</v>
      </c>
      <c r="H26" s="13">
        <v>0.1844351578325698</v>
      </c>
      <c r="J26" s="8">
        <v>4322526.91</v>
      </c>
      <c r="K26" s="8">
        <v>4325882.11950449</v>
      </c>
      <c r="L26" s="13">
        <v>-7.756127910564237E-4</v>
      </c>
      <c r="N26" s="8">
        <v>3016939.2</v>
      </c>
      <c r="O26" s="8">
        <v>4322526.91</v>
      </c>
      <c r="P26" s="13">
        <v>0.4327524101248046</v>
      </c>
      <c r="S26" s="8">
        <v>2.8358458146101695E7</v>
      </c>
      <c r="T26" s="8">
        <v>4.030377274E7</v>
      </c>
      <c r="U26" s="13">
        <v>0.42122581320735075</v>
      </c>
      <c r="X26" s="8">
        <v>2587228.42</v>
      </c>
      <c r="Y26" s="8">
        <v>1276873.3</v>
      </c>
      <c r="Z26" s="13">
        <v>1.0262217245830105</v>
      </c>
      <c r="AC26" s="8">
        <v>4322526.91</v>
      </c>
      <c r="AD26" s="8">
        <v>3016939.2</v>
      </c>
      <c r="AE26" s="13">
        <v>0.4327524101248046</v>
      </c>
    </row>
    <row r="27" ht="15.75" customHeight="1">
      <c r="A27" s="9"/>
      <c r="AC27" s="8">
        <v>0.0</v>
      </c>
    </row>
    <row r="28" ht="15.75" customHeight="1">
      <c r="A28" s="9"/>
      <c r="B28" s="10" t="s">
        <v>67</v>
      </c>
      <c r="AC28" s="8">
        <v>0.0</v>
      </c>
    </row>
    <row r="29" ht="15.75" customHeight="1">
      <c r="A29" s="9"/>
      <c r="B29" s="12" t="s">
        <v>62</v>
      </c>
      <c r="C29" s="8">
        <v>3.189670488398838E7</v>
      </c>
      <c r="D29" s="8">
        <v>4.0363443569937885E7</v>
      </c>
      <c r="E29" s="13">
        <v>0.26544242475026536</v>
      </c>
      <c r="G29" s="8">
        <v>3.9447727698147416E7</v>
      </c>
      <c r="H29" s="13">
        <v>0.023213399737432194</v>
      </c>
      <c r="J29" s="8">
        <v>8.835670552539456E7</v>
      </c>
      <c r="K29" s="8">
        <v>7.905027849164462E7</v>
      </c>
      <c r="L29" s="13">
        <v>0.11772794746995863</v>
      </c>
      <c r="N29" s="8">
        <v>6.53972145391444E7</v>
      </c>
      <c r="O29" s="8">
        <v>8.835670552539456E7</v>
      </c>
      <c r="P29" s="13">
        <v>0.3510775060993989</v>
      </c>
      <c r="S29" s="8">
        <v>2.6628823527061352E8</v>
      </c>
      <c r="T29" s="8">
        <v>4.2733857037459254E8</v>
      </c>
      <c r="U29" s="13">
        <v>0.6047970348382563</v>
      </c>
      <c r="X29" s="8">
        <v>4.0363443569937885E7</v>
      </c>
      <c r="Y29" s="8">
        <v>4.164743669847977E7</v>
      </c>
      <c r="Z29" s="13">
        <v>-0.03083006375248909</v>
      </c>
      <c r="AC29" s="8">
        <v>8.835670552539456E7</v>
      </c>
      <c r="AD29" s="8">
        <v>8.182810842716777E7</v>
      </c>
      <c r="AE29" s="13">
        <v>0.07978428468791576</v>
      </c>
    </row>
    <row r="30" ht="15.75" customHeight="1">
      <c r="A30" s="9"/>
      <c r="B30" s="12" t="s">
        <v>63</v>
      </c>
      <c r="C30" s="8">
        <v>1.3001854893202484E8</v>
      </c>
      <c r="D30" s="8">
        <v>1.7105575443940747E8</v>
      </c>
      <c r="E30" s="13">
        <v>0.31562577681771664</v>
      </c>
      <c r="G30" s="8">
        <v>1.945975167153957E8</v>
      </c>
      <c r="H30" s="13">
        <v>-0.12097668394411587</v>
      </c>
      <c r="J30" s="8">
        <v>3.493113030296676E8</v>
      </c>
      <c r="K30" s="8">
        <v>3.843967751131245E8</v>
      </c>
      <c r="L30" s="13">
        <v>-0.09127410622300758</v>
      </c>
      <c r="N30" s="8">
        <v>2.6402041581457686E8</v>
      </c>
      <c r="O30" s="8">
        <v>3.493113030296676E8</v>
      </c>
      <c r="P30" s="13">
        <v>0.3230465604409587</v>
      </c>
      <c r="S30" s="8">
        <v>1.3341208607610931E9</v>
      </c>
      <c r="T30" s="8">
        <v>1.8937012630459452E9</v>
      </c>
      <c r="U30" s="13">
        <v>0.4194375627749505</v>
      </c>
      <c r="X30" s="8">
        <v>1.7105575443940747E8</v>
      </c>
      <c r="Y30" s="8">
        <v>1.756704175937798E8</v>
      </c>
      <c r="Z30" s="13">
        <v>-0.026268868814573465</v>
      </c>
      <c r="AC30" s="8">
        <v>3.493113030296676E8</v>
      </c>
      <c r="AD30" s="8">
        <v>3.5336654670577E8</v>
      </c>
      <c r="AE30" s="13">
        <v>-0.011476025995972416</v>
      </c>
    </row>
    <row r="31" ht="15.75" customHeight="1">
      <c r="A31" s="9"/>
      <c r="B31" s="12" t="s">
        <v>64</v>
      </c>
      <c r="C31" s="8">
        <v>6.0307318050847456E7</v>
      </c>
      <c r="D31" s="8">
        <v>9.469107076271187E7</v>
      </c>
      <c r="E31" s="13">
        <v>0.5701422948849115</v>
      </c>
      <c r="G31" s="8">
        <v>7.68983644899873E7</v>
      </c>
      <c r="H31" s="13">
        <v>0.23137951490556485</v>
      </c>
      <c r="J31" s="8">
        <v>1.8288760254237288E8</v>
      </c>
      <c r="K31" s="8">
        <v>1.5303535903452918E8</v>
      </c>
      <c r="L31" s="13">
        <v>0.1950676216018037</v>
      </c>
      <c r="N31" s="8">
        <v>1.1733891262711865E8</v>
      </c>
      <c r="O31" s="8">
        <v>1.8288760254237288E8</v>
      </c>
      <c r="P31" s="13">
        <v>0.5586270440698207</v>
      </c>
      <c r="S31" s="8">
        <v>6.628438781355932E8</v>
      </c>
      <c r="T31" s="8">
        <v>8.850899033898306E8</v>
      </c>
      <c r="U31" s="13">
        <v>0.3352916615589141</v>
      </c>
      <c r="X31" s="8">
        <v>9.469107076271187E7</v>
      </c>
      <c r="Y31" s="8">
        <v>8.016586810455911E7</v>
      </c>
      <c r="Z31" s="13">
        <v>0.18118936402220154</v>
      </c>
      <c r="AC31" s="8">
        <v>1.8288760254237288E8</v>
      </c>
      <c r="AD31" s="8">
        <v>1.537374054186927E8</v>
      </c>
      <c r="AE31" s="13">
        <v>0.18961031015380891</v>
      </c>
    </row>
    <row r="32" ht="15.75" customHeight="1">
      <c r="A32" s="9"/>
      <c r="B32" s="12" t="s">
        <v>65</v>
      </c>
      <c r="C32" s="8">
        <v>9824250.779119076</v>
      </c>
      <c r="D32" s="8">
        <v>1.7547214178006716E7</v>
      </c>
      <c r="E32" s="13">
        <v>0.786112200566214</v>
      </c>
      <c r="G32" s="8">
        <v>1.1631210525938494E7</v>
      </c>
      <c r="H32" s="13">
        <v>0.5086318091203903</v>
      </c>
      <c r="J32" s="8">
        <v>3.083407874038835E7</v>
      </c>
      <c r="K32" s="8">
        <v>2.302545135857006E7</v>
      </c>
      <c r="L32" s="13">
        <v>0.33913026329935203</v>
      </c>
      <c r="N32" s="8">
        <v>1.888849559348862E7</v>
      </c>
      <c r="O32" s="8">
        <v>3.083407874038835E7</v>
      </c>
      <c r="P32" s="13">
        <v>0.6324263935036574</v>
      </c>
      <c r="S32" s="8">
        <v>1.0233892201323985E8</v>
      </c>
      <c r="T32" s="8">
        <v>1.4273092694762546E8</v>
      </c>
      <c r="U32" s="13">
        <v>0.3946885910050919</v>
      </c>
      <c r="X32" s="8">
        <v>1.7547214178006716E7</v>
      </c>
      <c r="Y32" s="8">
        <v>1.09747455609776E7</v>
      </c>
      <c r="Z32" s="13">
        <v>0.5988720722964678</v>
      </c>
      <c r="AC32" s="8">
        <v>3.083407874038835E7</v>
      </c>
      <c r="AD32" s="8">
        <v>2.158732159098827E7</v>
      </c>
      <c r="AE32" s="13">
        <v>0.4283420298542353</v>
      </c>
    </row>
    <row r="33" ht="15.75" hidden="1" customHeight="1">
      <c r="A33" s="9"/>
      <c r="B33" s="12" t="s">
        <v>66</v>
      </c>
      <c r="C33" s="8" t="str">
        <f>[1]Consolidated!CI186</f>
        <v>#ERROR!</v>
      </c>
      <c r="D33" s="8" t="str">
        <f>[1]Consolidated!CU186</f>
        <v>#ERROR!</v>
      </c>
      <c r="E33" s="13" t="str">
        <f>IF(C33=0,"",D33/C33-1)</f>
        <v>#ERROR!</v>
      </c>
      <c r="G33" s="8" t="str">
        <f>[1]Consolidated!DK186</f>
        <v>#ERROR!</v>
      </c>
      <c r="H33" s="13" t="str">
        <f>IF(G33=0,"",D33/G33-1)</f>
        <v>#ERROR!</v>
      </c>
      <c r="J33" s="8" t="str">
        <f>SUM([1]Consolidated!CT186:CU186)</f>
        <v>#ERROR!</v>
      </c>
      <c r="K33" s="8" t="str">
        <f>SUM([1]Consolidated!DJ186:DK186)</f>
        <v>#ERROR!</v>
      </c>
      <c r="L33" s="13" t="str">
        <f>IF(K33=0,"",J33/K33-1)</f>
        <v>#ERROR!</v>
      </c>
      <c r="N33" s="8" t="str">
        <f>SUM([1]Consolidated!CH186:CI186)</f>
        <v>#ERROR!</v>
      </c>
      <c r="O33" s="8" t="str">
        <f>SUM([1]Consolidated!CT186:CU186)</f>
        <v>#ERROR!</v>
      </c>
      <c r="P33" s="13" t="str">
        <f>IF(N33=0,"",O33/N33-1)</f>
        <v>#ERROR!</v>
      </c>
      <c r="S33" s="8" t="str">
        <f>SUM([1]Consolidated!BX186:CI186)</f>
        <v>#ERROR!</v>
      </c>
      <c r="T33" s="8" t="str">
        <f>SUM([1]Consolidated!CJ186:CU186)</f>
        <v>#ERROR!</v>
      </c>
      <c r="U33" s="13" t="str">
        <f>IF(S33=0,"",T33/S33-1)</f>
        <v>#ERROR!</v>
      </c>
      <c r="X33" s="8" t="str">
        <f>[1]Consolidated!CU186</f>
        <v>#ERROR!</v>
      </c>
      <c r="Y33" s="8">
        <v>1276873.3</v>
      </c>
      <c r="Z33" s="13" t="str">
        <f>IF(Y33=0,"",X33/Y33-1)</f>
        <v>#ERROR!</v>
      </c>
      <c r="AC33" s="8" t="str">
        <f t="shared" ref="AC33:AC40" si="1">O33</f>
        <v>#ERROR!</v>
      </c>
      <c r="AD33" s="8">
        <v>3016939.2</v>
      </c>
      <c r="AE33" s="13" t="str">
        <f>IF(AD33=0,"",AC33/AD33-1)</f>
        <v>#ERROR!</v>
      </c>
    </row>
    <row r="34" ht="15.75" customHeight="1">
      <c r="A34" s="9"/>
      <c r="AC34" s="8" t="str">
        <f t="shared" si="1"/>
        <v/>
      </c>
    </row>
    <row r="35" ht="15.75" customHeight="1">
      <c r="A35" s="9"/>
      <c r="B35" s="10" t="s">
        <v>45</v>
      </c>
      <c r="AC35" s="8" t="str">
        <f t="shared" si="1"/>
        <v/>
      </c>
    </row>
    <row r="36" ht="15.75" customHeight="1">
      <c r="A36" s="9"/>
      <c r="B36" s="14" t="s">
        <v>62</v>
      </c>
      <c r="C36" s="15">
        <f t="shared" ref="C36:D36" si="2">IF(C22=0,"",C29/C22)</f>
        <v>0.07052284651</v>
      </c>
      <c r="D36" s="15">
        <f t="shared" si="2"/>
        <v>0.07525034943</v>
      </c>
      <c r="E36" s="16">
        <f t="shared" ref="E36:E40" si="8">(D36-C36)*10000</f>
        <v>47.27502916</v>
      </c>
      <c r="F36" s="14" t="s">
        <v>46</v>
      </c>
      <c r="G36" s="15">
        <f t="shared" ref="G36:G40" si="9">IF(G22=0,"",G29/G22)</f>
        <v>0.06363008557</v>
      </c>
      <c r="H36" s="16">
        <f t="shared" ref="H36:H40" si="10">(D36-G36)*10000</f>
        <v>116.2026386</v>
      </c>
      <c r="I36" s="14" t="s">
        <v>46</v>
      </c>
      <c r="J36" s="15">
        <f t="shared" ref="J36:K36" si="3">IF(J22=0,"",J29/J22)</f>
        <v>0.08082463114</v>
      </c>
      <c r="K36" s="15">
        <f t="shared" si="3"/>
        <v>0.06414131415</v>
      </c>
      <c r="L36" s="16">
        <f t="shared" ref="L36:L40" si="12">(J36-K36)*10000</f>
        <v>166.8331699</v>
      </c>
      <c r="M36" s="14" t="s">
        <v>46</v>
      </c>
      <c r="N36" s="15">
        <f t="shared" ref="N36:O36" si="4">IF(N22=0,"",N29/N22)</f>
        <v>0.07175728491</v>
      </c>
      <c r="O36" s="15">
        <f t="shared" si="4"/>
        <v>0.08082463114</v>
      </c>
      <c r="P36" s="16">
        <f t="shared" ref="P36:P40" si="14">(O36-N36)*10000</f>
        <v>90.67346229</v>
      </c>
      <c r="Q36" s="14" t="s">
        <v>46</v>
      </c>
      <c r="S36" s="15">
        <f t="shared" ref="S36:T36" si="5">IF(S22=0,"",S29/S22)</f>
        <v>0.0627563761</v>
      </c>
      <c r="T36" s="15">
        <f t="shared" si="5"/>
        <v>0.07034915198</v>
      </c>
      <c r="U36" s="16">
        <f t="shared" ref="U36:U40" si="16">(T36-S36)*10000</f>
        <v>75.92775875</v>
      </c>
      <c r="V36" s="14" t="s">
        <v>46</v>
      </c>
      <c r="X36" s="15">
        <f t="shared" ref="X36:Y36" si="6">IF(X22=0,"",X29/X22)</f>
        <v>0.07525034943</v>
      </c>
      <c r="Y36" s="15">
        <f t="shared" si="6"/>
        <v>0.06649036185</v>
      </c>
      <c r="Z36" s="16">
        <f t="shared" ref="Z36:Z40" si="18">IF(Y36="","",(X36-Y36)*10000)</f>
        <v>87.59987575</v>
      </c>
      <c r="AA36" s="14" t="s">
        <v>46</v>
      </c>
      <c r="AC36" s="17">
        <f t="shared" si="1"/>
        <v>0.08082463114</v>
      </c>
      <c r="AD36" s="15">
        <f t="shared" ref="AD36:AD40" si="19">IF(AD22=0,"",AD29/AD22)</f>
        <v>0.06649036185</v>
      </c>
      <c r="AE36" s="16">
        <f t="shared" ref="AE36:AE40" si="20">IF(AD36="","",(AC36-AD36)*10000)</f>
        <v>143.3426929</v>
      </c>
      <c r="AF36" s="14" t="s">
        <v>46</v>
      </c>
    </row>
    <row r="37" ht="15.75" customHeight="1">
      <c r="A37" s="9"/>
      <c r="B37" s="14" t="s">
        <v>63</v>
      </c>
      <c r="C37" s="15">
        <f t="shared" ref="C37:D37" si="7">IF(C23=0,"",C30/C23)</f>
        <v>0.1823242403</v>
      </c>
      <c r="D37" s="15">
        <f t="shared" si="7"/>
        <v>0.1608550044</v>
      </c>
      <c r="E37" s="16">
        <f t="shared" si="8"/>
        <v>-214.6923583</v>
      </c>
      <c r="F37" s="14" t="s">
        <v>46</v>
      </c>
      <c r="G37" s="15">
        <f t="shared" si="9"/>
        <v>0.1796707612</v>
      </c>
      <c r="H37" s="16">
        <f t="shared" si="10"/>
        <v>-188.1575677</v>
      </c>
      <c r="I37" s="14" t="s">
        <v>46</v>
      </c>
      <c r="J37" s="15">
        <f t="shared" ref="J37:K37" si="11">IF(J23=0,"",J30/J23)</f>
        <v>0.1674531661</v>
      </c>
      <c r="K37" s="15">
        <f t="shared" si="11"/>
        <v>0.1798085115</v>
      </c>
      <c r="L37" s="16">
        <f t="shared" si="12"/>
        <v>-123.5534542</v>
      </c>
      <c r="M37" s="14" t="s">
        <v>46</v>
      </c>
      <c r="N37" s="15">
        <f t="shared" ref="N37:O37" si="13">IF(N23=0,"",N30/N23)</f>
        <v>0.182834055</v>
      </c>
      <c r="O37" s="15">
        <f t="shared" si="13"/>
        <v>0.1674531661</v>
      </c>
      <c r="P37" s="16">
        <f t="shared" si="14"/>
        <v>-153.8088891</v>
      </c>
      <c r="Q37" s="14" t="s">
        <v>46</v>
      </c>
      <c r="S37" s="15">
        <f t="shared" ref="S37:T37" si="15">IF(S23=0,"",S30/S23)</f>
        <v>0.1875534521</v>
      </c>
      <c r="T37" s="15">
        <f t="shared" si="15"/>
        <v>0.1782353783</v>
      </c>
      <c r="U37" s="16">
        <f t="shared" si="16"/>
        <v>-93.18073887</v>
      </c>
      <c r="V37" s="14" t="s">
        <v>46</v>
      </c>
      <c r="X37" s="15">
        <f t="shared" ref="X37:Y37" si="17">IF(X23=0,"",X30/X23)</f>
        <v>0.1608550044</v>
      </c>
      <c r="Y37" s="15">
        <f t="shared" si="17"/>
        <v>0.1818077464</v>
      </c>
      <c r="Z37" s="16">
        <f t="shared" si="18"/>
        <v>-209.5274196</v>
      </c>
      <c r="AA37" s="14" t="s">
        <v>46</v>
      </c>
      <c r="AC37" s="17">
        <f t="shared" si="1"/>
        <v>0.1674531661</v>
      </c>
      <c r="AD37" s="15">
        <f t="shared" si="19"/>
        <v>0.1819124168</v>
      </c>
      <c r="AE37" s="16">
        <f t="shared" si="20"/>
        <v>-144.5925073</v>
      </c>
      <c r="AF37" s="14" t="s">
        <v>46</v>
      </c>
    </row>
    <row r="38" ht="15.75" customHeight="1">
      <c r="A38" s="9"/>
      <c r="B38" s="14" t="s">
        <v>64</v>
      </c>
      <c r="C38" s="15">
        <f t="shared" ref="C38:D38" si="21">IF(C24=0,"",C31/C24)</f>
        <v>1</v>
      </c>
      <c r="D38" s="15">
        <f t="shared" si="21"/>
        <v>1</v>
      </c>
      <c r="E38" s="16">
        <f t="shared" si="8"/>
        <v>0</v>
      </c>
      <c r="F38" s="14" t="s">
        <v>46</v>
      </c>
      <c r="G38" s="15">
        <f t="shared" si="9"/>
        <v>1</v>
      </c>
      <c r="H38" s="16">
        <f t="shared" si="10"/>
        <v>0</v>
      </c>
      <c r="I38" s="14" t="s">
        <v>46</v>
      </c>
      <c r="J38" s="15">
        <f t="shared" ref="J38:K38" si="22">IF(J24=0,"",J31/J24)</f>
        <v>1</v>
      </c>
      <c r="K38" s="15">
        <f t="shared" si="22"/>
        <v>1</v>
      </c>
      <c r="L38" s="16">
        <f t="shared" si="12"/>
        <v>0</v>
      </c>
      <c r="M38" s="14" t="s">
        <v>46</v>
      </c>
      <c r="N38" s="15">
        <f t="shared" ref="N38:O38" si="23">IF(N24=0,"",N31/N24)</f>
        <v>1</v>
      </c>
      <c r="O38" s="15">
        <f t="shared" si="23"/>
        <v>1</v>
      </c>
      <c r="P38" s="16">
        <f t="shared" si="14"/>
        <v>0</v>
      </c>
      <c r="Q38" s="14" t="s">
        <v>46</v>
      </c>
      <c r="S38" s="15">
        <f t="shared" ref="S38:T38" si="24">IF(S24=0,"",S31/S24)</f>
        <v>1</v>
      </c>
      <c r="T38" s="15">
        <f t="shared" si="24"/>
        <v>1</v>
      </c>
      <c r="U38" s="16">
        <f t="shared" si="16"/>
        <v>0</v>
      </c>
      <c r="V38" s="14" t="s">
        <v>46</v>
      </c>
      <c r="X38" s="15">
        <f t="shared" ref="X38:Y38" si="25">IF(X24=0,"",X31/X24)</f>
        <v>1</v>
      </c>
      <c r="Y38" s="15">
        <f t="shared" si="25"/>
        <v>1</v>
      </c>
      <c r="Z38" s="16">
        <f t="shared" si="18"/>
        <v>0</v>
      </c>
      <c r="AA38" s="14" t="s">
        <v>46</v>
      </c>
      <c r="AC38" s="17">
        <f t="shared" si="1"/>
        <v>1</v>
      </c>
      <c r="AD38" s="15">
        <f t="shared" si="19"/>
        <v>1</v>
      </c>
      <c r="AE38" s="16">
        <f t="shared" si="20"/>
        <v>0</v>
      </c>
      <c r="AF38" s="14" t="s">
        <v>46</v>
      </c>
    </row>
    <row r="39" ht="15.75" customHeight="1">
      <c r="A39" s="9"/>
      <c r="B39" s="14" t="s">
        <v>65</v>
      </c>
      <c r="C39" s="15">
        <f t="shared" ref="C39:D39" si="26">IF(C25=0,"",C32/C25)</f>
        <v>0.3128907388</v>
      </c>
      <c r="D39" s="15">
        <f t="shared" si="26"/>
        <v>0.3044612912</v>
      </c>
      <c r="E39" s="16">
        <f t="shared" si="8"/>
        <v>-84.29447616</v>
      </c>
      <c r="F39" s="14" t="s">
        <v>46</v>
      </c>
      <c r="G39" s="15">
        <f t="shared" si="9"/>
        <v>0.2850992623</v>
      </c>
      <c r="H39" s="16">
        <f t="shared" si="10"/>
        <v>193.6202889</v>
      </c>
      <c r="I39" s="14" t="s">
        <v>46</v>
      </c>
      <c r="J39" s="15">
        <f t="shared" ref="J39:K39" si="27">IF(J25=0,"",J32/J25)</f>
        <v>0.2903936328</v>
      </c>
      <c r="K39" s="15">
        <f t="shared" si="27"/>
        <v>0.2851208522</v>
      </c>
      <c r="L39" s="16">
        <f t="shared" si="12"/>
        <v>52.72780642</v>
      </c>
      <c r="M39" s="14" t="s">
        <v>46</v>
      </c>
      <c r="N39" s="15">
        <f t="shared" ref="N39:O39" si="28">IF(N25=0,"",N32/N25)</f>
        <v>0.3073884097</v>
      </c>
      <c r="O39" s="15">
        <f t="shared" si="28"/>
        <v>0.2903936328</v>
      </c>
      <c r="P39" s="16">
        <f t="shared" si="14"/>
        <v>-169.9477686</v>
      </c>
      <c r="Q39" s="14" t="s">
        <v>46</v>
      </c>
      <c r="S39" s="15">
        <f t="shared" ref="S39:T39" si="29">IF(S25=0,"",S32/S25)</f>
        <v>0.3041341626</v>
      </c>
      <c r="T39" s="15">
        <f t="shared" si="29"/>
        <v>0.281285193</v>
      </c>
      <c r="U39" s="16">
        <f t="shared" si="16"/>
        <v>-228.4896963</v>
      </c>
      <c r="V39" s="14" t="s">
        <v>46</v>
      </c>
      <c r="X39" s="15">
        <f t="shared" ref="X39:Y39" si="30">IF(X25=0,"",X32/X25)</f>
        <v>0.3044612912</v>
      </c>
      <c r="Y39" s="15">
        <f t="shared" si="30"/>
        <v>0.2526052602</v>
      </c>
      <c r="Z39" s="16">
        <f t="shared" si="18"/>
        <v>518.5603103</v>
      </c>
      <c r="AA39" s="14" t="s">
        <v>46</v>
      </c>
      <c r="AC39" s="17">
        <f t="shared" si="1"/>
        <v>0.2903936328</v>
      </c>
      <c r="AD39" s="15">
        <f t="shared" si="19"/>
        <v>0.250274044</v>
      </c>
      <c r="AE39" s="16">
        <f t="shared" si="20"/>
        <v>401.1958887</v>
      </c>
      <c r="AF39" s="14" t="s">
        <v>46</v>
      </c>
    </row>
    <row r="40" ht="15.75" hidden="1" customHeight="1">
      <c r="A40" s="9"/>
      <c r="B40" s="14" t="s">
        <v>66</v>
      </c>
      <c r="C40" s="18" t="str">
        <f t="shared" ref="C40:D40" si="31">IF(C26=0,"",C33/C26)</f>
        <v>#ERROR!</v>
      </c>
      <c r="D40" s="18" t="str">
        <f t="shared" si="31"/>
        <v>#ERROR!</v>
      </c>
      <c r="E40" s="19" t="str">
        <f t="shared" si="8"/>
        <v>#ERROR!</v>
      </c>
      <c r="F40" s="14" t="s">
        <v>46</v>
      </c>
      <c r="G40" s="18" t="str">
        <f t="shared" si="9"/>
        <v>#ERROR!</v>
      </c>
      <c r="H40" s="19" t="str">
        <f t="shared" si="10"/>
        <v>#ERROR!</v>
      </c>
      <c r="I40" s="14" t="s">
        <v>46</v>
      </c>
      <c r="J40" s="18" t="str">
        <f t="shared" ref="J40:K40" si="32">IF(J26=0,"",J33/J26)</f>
        <v>#ERROR!</v>
      </c>
      <c r="K40" s="18" t="str">
        <f t="shared" si="32"/>
        <v>#ERROR!</v>
      </c>
      <c r="L40" s="19" t="str">
        <f t="shared" si="12"/>
        <v>#ERROR!</v>
      </c>
      <c r="M40" s="14" t="s">
        <v>46</v>
      </c>
      <c r="N40" s="18" t="str">
        <f t="shared" ref="N40:O40" si="33">IF(N26=0,"",N33/N26)</f>
        <v>#ERROR!</v>
      </c>
      <c r="O40" s="18" t="str">
        <f t="shared" si="33"/>
        <v>#ERROR!</v>
      </c>
      <c r="P40" s="19" t="str">
        <f t="shared" si="14"/>
        <v>#ERROR!</v>
      </c>
      <c r="Q40" s="14" t="s">
        <v>46</v>
      </c>
      <c r="R40" s="9"/>
      <c r="S40" s="18" t="str">
        <f t="shared" ref="S40:T40" si="34">IF(S26=0,"",S33/S26)</f>
        <v>#ERROR!</v>
      </c>
      <c r="T40" s="18" t="str">
        <f t="shared" si="34"/>
        <v>#ERROR!</v>
      </c>
      <c r="U40" s="19" t="str">
        <f t="shared" si="16"/>
        <v>#ERROR!</v>
      </c>
      <c r="V40" s="14" t="s">
        <v>46</v>
      </c>
      <c r="W40" s="9"/>
      <c r="X40" s="18" t="str">
        <f t="shared" ref="X40:Y40" si="35">IF(X26=0,"",X33/X26)</f>
        <v>#ERROR!</v>
      </c>
      <c r="Y40" s="18">
        <f t="shared" si="35"/>
        <v>1</v>
      </c>
      <c r="Z40" s="19" t="str">
        <f t="shared" si="18"/>
        <v>#ERROR!</v>
      </c>
      <c r="AA40" s="14" t="s">
        <v>46</v>
      </c>
      <c r="AB40" s="9"/>
      <c r="AC40" s="17" t="str">
        <f t="shared" si="1"/>
        <v>#ERROR!</v>
      </c>
      <c r="AD40" s="18">
        <f t="shared" si="19"/>
        <v>1</v>
      </c>
      <c r="AE40" s="19" t="str">
        <f t="shared" si="20"/>
        <v>#ERROR!</v>
      </c>
      <c r="AF40" s="14" t="s">
        <v>46</v>
      </c>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row r="42" ht="19.5" customHeight="1">
      <c r="A42" s="9"/>
      <c r="B42" s="20" t="s">
        <v>68</v>
      </c>
      <c r="C42" s="21"/>
      <c r="D42" s="21"/>
      <c r="E42" s="21"/>
      <c r="F42" s="21"/>
      <c r="G42" s="21"/>
      <c r="H42" s="21"/>
      <c r="I42" s="21"/>
      <c r="J42" s="21"/>
      <c r="K42" s="21"/>
      <c r="L42" s="21"/>
      <c r="M42" s="21"/>
      <c r="N42" s="21"/>
      <c r="O42" s="21"/>
      <c r="P42" s="21"/>
      <c r="Q42" s="22"/>
      <c r="R42" s="9"/>
      <c r="S42" s="9"/>
      <c r="T42" s="9"/>
      <c r="U42" s="9"/>
      <c r="V42" s="9"/>
      <c r="W42" s="9"/>
      <c r="X42" s="9"/>
      <c r="Y42" s="9"/>
      <c r="Z42" s="9"/>
      <c r="AA42" s="9"/>
      <c r="AB42" s="9"/>
      <c r="AC42" s="9"/>
      <c r="AD42" s="9"/>
      <c r="AE42" s="9"/>
      <c r="AF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row>
    <row r="44" ht="15.75" customHeight="1">
      <c r="A44" s="9"/>
      <c r="B44" s="23" t="s">
        <v>69</v>
      </c>
      <c r="R44" s="9"/>
      <c r="S44" s="9"/>
      <c r="T44" s="9"/>
      <c r="U44" s="9"/>
      <c r="V44" s="9"/>
      <c r="W44" s="9"/>
      <c r="X44" s="9"/>
      <c r="Y44" s="9"/>
      <c r="Z44" s="9"/>
      <c r="AA44" s="9"/>
      <c r="AB44" s="9"/>
      <c r="AC44" s="9"/>
      <c r="AD44" s="9"/>
      <c r="AE44" s="9"/>
      <c r="AF44" s="9"/>
    </row>
    <row r="45" ht="30.0" customHeight="1">
      <c r="A45" s="9"/>
      <c r="B45" s="24" t="s">
        <v>70</v>
      </c>
      <c r="R45" s="9"/>
      <c r="S45" s="9"/>
      <c r="T45" s="9"/>
      <c r="U45" s="9"/>
      <c r="V45" s="9"/>
      <c r="W45" s="9"/>
      <c r="X45" s="9"/>
      <c r="Y45" s="9"/>
      <c r="Z45" s="9"/>
      <c r="AA45" s="9"/>
      <c r="AB45" s="9"/>
      <c r="AC45" s="9"/>
      <c r="AD45" s="9"/>
      <c r="AE45" s="9"/>
      <c r="AF45" s="9"/>
    </row>
    <row r="46" ht="30.0" customHeight="1">
      <c r="A46" s="9"/>
      <c r="B46" s="24" t="s">
        <v>71</v>
      </c>
      <c r="R46" s="9"/>
      <c r="S46" s="9"/>
      <c r="T46" s="9"/>
      <c r="U46" s="9"/>
      <c r="V46" s="9"/>
      <c r="W46" s="9"/>
      <c r="X46" s="9"/>
      <c r="Y46" s="9"/>
      <c r="Z46" s="9"/>
      <c r="AA46" s="9"/>
      <c r="AB46" s="9"/>
      <c r="AC46" s="9"/>
      <c r="AD46" s="9"/>
      <c r="AE46" s="9"/>
      <c r="AF46" s="9"/>
    </row>
    <row r="47" ht="30.0" customHeight="1">
      <c r="A47" s="9"/>
      <c r="B47" s="24" t="s">
        <v>72</v>
      </c>
      <c r="R47" s="9"/>
      <c r="S47" s="9"/>
      <c r="T47" s="9"/>
      <c r="U47" s="9"/>
      <c r="V47" s="9"/>
      <c r="W47" s="9"/>
      <c r="X47" s="9"/>
      <c r="Y47" s="9"/>
      <c r="Z47" s="9"/>
      <c r="AA47" s="9"/>
      <c r="AB47" s="9"/>
      <c r="AC47" s="9"/>
      <c r="AD47" s="9"/>
      <c r="AE47" s="9"/>
      <c r="AF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row>
    <row r="49" ht="15.75" customHeight="1">
      <c r="A49" s="9"/>
      <c r="B49" s="23" t="s">
        <v>73</v>
      </c>
      <c r="R49" s="9"/>
      <c r="S49" s="9"/>
      <c r="T49" s="9"/>
      <c r="U49" s="9"/>
      <c r="V49" s="9"/>
      <c r="W49" s="9"/>
      <c r="X49" s="9"/>
      <c r="Y49" s="9"/>
      <c r="Z49" s="9"/>
      <c r="AA49" s="9"/>
      <c r="AB49" s="9"/>
      <c r="AC49" s="9"/>
      <c r="AD49" s="9"/>
      <c r="AE49" s="9"/>
      <c r="AF49" s="9"/>
    </row>
    <row r="50" ht="45.0" customHeight="1">
      <c r="A50" s="9"/>
      <c r="B50" s="24" t="s">
        <v>74</v>
      </c>
      <c r="R50" s="9"/>
      <c r="S50" s="9"/>
      <c r="T50" s="9"/>
      <c r="U50" s="9"/>
      <c r="V50" s="9"/>
      <c r="W50" s="9"/>
      <c r="X50" s="9"/>
      <c r="Y50" s="9"/>
      <c r="Z50" s="9"/>
      <c r="AA50" s="9"/>
      <c r="AB50" s="9"/>
      <c r="AC50" s="9"/>
      <c r="AD50" s="9"/>
      <c r="AE50" s="9"/>
      <c r="AF50" s="9"/>
    </row>
    <row r="51" ht="30.0" customHeight="1">
      <c r="A51" s="9"/>
      <c r="B51" s="24" t="s">
        <v>75</v>
      </c>
      <c r="R51" s="9"/>
      <c r="S51" s="9"/>
      <c r="T51" s="9"/>
      <c r="U51" s="9"/>
      <c r="V51" s="9"/>
      <c r="W51" s="9"/>
      <c r="X51" s="9"/>
      <c r="Y51" s="9"/>
      <c r="Z51" s="9"/>
      <c r="AA51" s="9"/>
      <c r="AB51" s="9"/>
      <c r="AC51" s="9"/>
      <c r="AD51" s="9"/>
      <c r="AE51" s="9"/>
      <c r="AF51" s="9"/>
    </row>
    <row r="52" ht="45.0" customHeight="1">
      <c r="A52" s="9"/>
      <c r="B52" s="24" t="s">
        <v>76</v>
      </c>
      <c r="R52" s="9"/>
      <c r="S52" s="9"/>
      <c r="T52" s="9"/>
      <c r="U52" s="9"/>
      <c r="V52" s="9"/>
      <c r="W52" s="9"/>
      <c r="X52" s="9"/>
      <c r="Y52" s="9"/>
      <c r="Z52" s="9"/>
      <c r="AA52" s="9"/>
      <c r="AB52" s="9"/>
      <c r="AC52" s="9"/>
      <c r="AD52" s="9"/>
      <c r="AE52" s="9"/>
      <c r="AF52" s="9"/>
    </row>
    <row r="53" ht="15.75" customHeight="1">
      <c r="A53" s="9"/>
      <c r="B53" s="23" t="s">
        <v>77</v>
      </c>
      <c r="R53" s="9"/>
      <c r="S53" s="9"/>
      <c r="T53" s="9"/>
      <c r="U53" s="9"/>
      <c r="V53" s="9"/>
      <c r="W53" s="9"/>
      <c r="X53" s="9"/>
      <c r="Y53" s="9"/>
      <c r="Z53" s="9"/>
      <c r="AA53" s="9"/>
      <c r="AB53" s="9"/>
      <c r="AC53" s="9"/>
      <c r="AD53" s="9"/>
      <c r="AE53" s="9"/>
      <c r="AF53" s="9"/>
    </row>
    <row r="54" ht="45.0" customHeight="1">
      <c r="A54" s="9"/>
      <c r="B54" s="24" t="s">
        <v>78</v>
      </c>
      <c r="R54" s="9"/>
      <c r="S54" s="9"/>
      <c r="T54" s="9"/>
      <c r="U54" s="9"/>
      <c r="V54" s="9"/>
      <c r="W54" s="9"/>
      <c r="X54" s="9"/>
      <c r="Y54" s="9"/>
      <c r="Z54" s="9"/>
      <c r="AA54" s="9"/>
      <c r="AB54" s="9"/>
      <c r="AC54" s="9"/>
      <c r="AD54" s="9"/>
      <c r="AE54" s="9"/>
      <c r="AF54" s="9"/>
    </row>
    <row r="55" ht="30.0" customHeight="1">
      <c r="A55" s="9"/>
      <c r="B55" s="24"/>
      <c r="R55" s="9"/>
      <c r="S55" s="9"/>
      <c r="T55" s="9"/>
      <c r="U55" s="9"/>
      <c r="V55" s="9"/>
      <c r="W55" s="9"/>
      <c r="X55" s="9"/>
      <c r="Y55" s="9"/>
      <c r="Z55" s="9"/>
      <c r="AA55" s="9"/>
      <c r="AB55" s="9"/>
      <c r="AC55" s="9"/>
      <c r="AD55" s="9"/>
      <c r="AE55" s="9"/>
      <c r="AF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row>
    <row r="57" ht="30.0" customHeight="1">
      <c r="A57" s="9"/>
      <c r="B57" s="25" t="s">
        <v>79</v>
      </c>
      <c r="R57" s="9"/>
      <c r="S57" s="9"/>
      <c r="T57" s="9"/>
      <c r="U57" s="9"/>
      <c r="V57" s="9"/>
      <c r="W57" s="9"/>
      <c r="X57" s="9"/>
      <c r="Y57" s="9"/>
      <c r="Z57" s="9"/>
      <c r="AA57" s="9"/>
      <c r="AB57" s="9"/>
      <c r="AC57" s="9"/>
      <c r="AD57" s="9"/>
      <c r="AE57" s="9"/>
      <c r="AF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row>
  </sheetData>
  <mergeCells count="13">
    <mergeCell ref="B51:Q51"/>
    <mergeCell ref="B52:Q52"/>
    <mergeCell ref="B53:Q53"/>
    <mergeCell ref="B54:Q54"/>
    <mergeCell ref="B55:Q55"/>
    <mergeCell ref="B57:Q57"/>
    <mergeCell ref="B42:Q42"/>
    <mergeCell ref="B44:Q44"/>
    <mergeCell ref="B45:Q45"/>
    <mergeCell ref="B46:Q46"/>
    <mergeCell ref="B47:Q47"/>
    <mergeCell ref="B49:Q49"/>
    <mergeCell ref="B50:Q50"/>
  </mergeCell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27.33"/>
    <col customWidth="1" min="3" max="3" width="120.0"/>
    <col customWidth="1" min="4" max="27" width="12.67"/>
    <col customWidth="1" min="28" max="28" width="10.11"/>
    <col customWidth="1" min="29" max="30" width="12.67"/>
    <col customWidth="1" min="31" max="31" width="13.67"/>
    <col customWidth="1" min="32" max="34" width="12.67"/>
    <col customWidth="1" min="35" max="35" width="6.78"/>
    <col customWidth="1" min="36" max="36" width="7.67"/>
    <col customWidth="1" min="37" max="37" width="9.78"/>
    <col customWidth="1" min="38" max="38" width="10.56"/>
    <col customWidth="1" min="39" max="39" width="9.11"/>
    <col customWidth="1" min="40" max="40" width="9.0"/>
    <col customWidth="1" min="41" max="41" width="7.11"/>
    <col customWidth="1" min="42" max="42" width="9.78"/>
    <col customWidth="1" min="43" max="43" width="10.11"/>
    <col customWidth="1" min="44" max="44" width="10.67"/>
    <col customWidth="1" min="45" max="45" width="6.11"/>
    <col customWidth="1" min="46" max="46" width="10.0"/>
  </cols>
  <sheetData>
    <row r="1" ht="15.75" customHeight="1">
      <c r="C1" s="26" t="s">
        <v>80</v>
      </c>
    </row>
    <row r="2" ht="15.75" customHeight="1">
      <c r="B2" s="27"/>
      <c r="C2" s="28" t="s">
        <v>81</v>
      </c>
    </row>
    <row r="3" ht="15.75" customHeight="1">
      <c r="C3" s="29" t="s">
        <v>82</v>
      </c>
      <c r="D3" s="29" t="s">
        <v>83</v>
      </c>
      <c r="E3" s="29" t="s">
        <v>84</v>
      </c>
      <c r="F3" s="29" t="s">
        <v>85</v>
      </c>
      <c r="G3" s="29" t="s">
        <v>86</v>
      </c>
      <c r="H3" s="29" t="s">
        <v>67</v>
      </c>
      <c r="I3" s="29" t="s">
        <v>87</v>
      </c>
      <c r="J3" s="29" t="s">
        <v>88</v>
      </c>
      <c r="K3" s="29" t="s">
        <v>89</v>
      </c>
      <c r="L3" s="29" t="s">
        <v>90</v>
      </c>
      <c r="M3" s="29"/>
      <c r="N3" s="29"/>
      <c r="O3" s="29" t="s">
        <v>91</v>
      </c>
      <c r="P3" s="29" t="s">
        <v>92</v>
      </c>
    </row>
    <row r="4" ht="15.75" customHeight="1">
      <c r="B4" s="30"/>
      <c r="C4" s="31" t="s">
        <v>93</v>
      </c>
      <c r="D4" s="32" t="s">
        <v>94</v>
      </c>
      <c r="E4" s="33">
        <v>1980.0</v>
      </c>
      <c r="F4" s="33">
        <v>1719.0</v>
      </c>
      <c r="G4" s="34">
        <v>0.48</v>
      </c>
      <c r="H4" s="33">
        <v>320.0</v>
      </c>
      <c r="I4" s="35">
        <f t="shared" ref="I4:I7" si="1">IF(H4="","",H4/F4)</f>
        <v>0.1861547411</v>
      </c>
      <c r="J4" s="33">
        <v>26.0</v>
      </c>
      <c r="K4" s="35">
        <f t="shared" ref="K4:K7" si="2">IF(F4=0,"",J4/F4)</f>
        <v>0.01512507272</v>
      </c>
      <c r="L4" s="36"/>
      <c r="M4" s="37"/>
      <c r="N4" s="37"/>
      <c r="O4" s="37">
        <f t="shared" ref="O4:O7" si="3">IF(F4=0,"",E4/F4)</f>
        <v>1.151832461</v>
      </c>
      <c r="P4" s="37">
        <f t="shared" ref="P4:P7" si="4">IF(J4&gt;0,E4/J4,"NM")</f>
        <v>76.15384615</v>
      </c>
    </row>
    <row r="5" ht="15.75" customHeight="1">
      <c r="C5" s="38" t="s">
        <v>95</v>
      </c>
      <c r="D5" s="39" t="s">
        <v>96</v>
      </c>
      <c r="E5" s="40">
        <v>4642.0</v>
      </c>
      <c r="F5" s="40">
        <v>7183.0</v>
      </c>
      <c r="G5" s="41">
        <v>0.067</v>
      </c>
      <c r="H5" s="40">
        <v>1037.0</v>
      </c>
      <c r="I5" s="42">
        <f t="shared" si="1"/>
        <v>0.1443686482</v>
      </c>
      <c r="J5" s="40">
        <v>438.0</v>
      </c>
      <c r="K5" s="42">
        <f t="shared" si="2"/>
        <v>0.06097730753</v>
      </c>
      <c r="L5" s="41">
        <v>-0.029</v>
      </c>
      <c r="M5" s="43"/>
      <c r="N5" s="43"/>
      <c r="O5" s="43">
        <f t="shared" si="3"/>
        <v>0.6462480858</v>
      </c>
      <c r="P5" s="43">
        <f t="shared" si="4"/>
        <v>10.59817352</v>
      </c>
    </row>
    <row r="6" ht="15.75" customHeight="1">
      <c r="B6" s="30"/>
      <c r="C6" s="38" t="s">
        <v>97</v>
      </c>
      <c r="D6" s="39" t="s">
        <v>96</v>
      </c>
      <c r="E6" s="40">
        <v>7089.0</v>
      </c>
      <c r="F6" s="40">
        <v>2672.0</v>
      </c>
      <c r="G6" s="41">
        <v>0.182</v>
      </c>
      <c r="H6" s="40">
        <v>417.0</v>
      </c>
      <c r="I6" s="42">
        <f t="shared" si="1"/>
        <v>0.1560628743</v>
      </c>
      <c r="J6" s="40">
        <v>228.0</v>
      </c>
      <c r="K6" s="42">
        <f t="shared" si="2"/>
        <v>0.08532934132</v>
      </c>
      <c r="L6" s="41">
        <v>0.096</v>
      </c>
      <c r="M6" s="43"/>
      <c r="N6" s="43"/>
      <c r="O6" s="43">
        <f t="shared" si="3"/>
        <v>2.653068862</v>
      </c>
      <c r="P6" s="43">
        <f t="shared" si="4"/>
        <v>31.09210526</v>
      </c>
    </row>
    <row r="7" ht="15.75" customHeight="1">
      <c r="C7" s="38" t="s">
        <v>98</v>
      </c>
      <c r="D7" s="39" t="s">
        <v>96</v>
      </c>
      <c r="E7" s="40">
        <v>4931.0</v>
      </c>
      <c r="F7" s="40">
        <v>1891.0</v>
      </c>
      <c r="G7" s="41">
        <v>0.34</v>
      </c>
      <c r="H7" s="40">
        <v>416.0</v>
      </c>
      <c r="I7" s="42">
        <f t="shared" si="1"/>
        <v>0.2199894236</v>
      </c>
      <c r="J7" s="40">
        <v>201.0</v>
      </c>
      <c r="K7" s="42">
        <f t="shared" si="2"/>
        <v>0.1062929667</v>
      </c>
      <c r="L7" s="41">
        <v>0.589</v>
      </c>
      <c r="M7" s="43"/>
      <c r="N7" s="43"/>
      <c r="O7" s="43">
        <f t="shared" si="3"/>
        <v>2.607615019</v>
      </c>
      <c r="P7" s="43">
        <f t="shared" si="4"/>
        <v>24.53233831</v>
      </c>
    </row>
    <row r="8" ht="15.75" customHeight="1"/>
    <row r="9" ht="15.75" customHeight="1">
      <c r="C9" s="44" t="s">
        <v>99</v>
      </c>
      <c r="M9" s="45"/>
      <c r="N9" s="45"/>
      <c r="O9" s="46">
        <f t="shared" ref="O9:P9" si="5">AVERAGE(O5:O7)</f>
        <v>1.968977322</v>
      </c>
      <c r="P9" s="46">
        <f t="shared" si="5"/>
        <v>22.0742057</v>
      </c>
    </row>
    <row r="10" ht="15.75" customHeight="1">
      <c r="B10" s="47"/>
      <c r="C10" s="44" t="s">
        <v>100</v>
      </c>
      <c r="M10" s="45"/>
      <c r="N10" s="45"/>
      <c r="O10" s="46">
        <f t="shared" ref="O10:P10" si="6">MEDIAN(O5:O7)</f>
        <v>2.607615019</v>
      </c>
      <c r="P10" s="46">
        <f t="shared" si="6"/>
        <v>24.53233831</v>
      </c>
    </row>
    <row r="11" ht="15.75" customHeight="1">
      <c r="C11" s="44" t="s">
        <v>101</v>
      </c>
      <c r="M11" s="45"/>
      <c r="N11" s="45"/>
      <c r="O11" s="46">
        <f t="shared" ref="O11:P11" si="7">MAX(O5:O7)</f>
        <v>2.653068862</v>
      </c>
      <c r="P11" s="46">
        <f t="shared" si="7"/>
        <v>31.09210526</v>
      </c>
    </row>
    <row r="12" ht="15.75" customHeight="1">
      <c r="B12" s="27"/>
      <c r="C12" s="44" t="s">
        <v>102</v>
      </c>
      <c r="M12" s="45"/>
      <c r="N12" s="45"/>
      <c r="O12" s="46">
        <f t="shared" ref="O12:P12" si="8">MIN(O5:O7)</f>
        <v>0.6462480858</v>
      </c>
      <c r="P12" s="46">
        <f t="shared" si="8"/>
        <v>10.59817352</v>
      </c>
    </row>
    <row r="13" ht="15.75" customHeight="1">
      <c r="B13" s="27"/>
    </row>
    <row r="14" ht="15.75" customHeight="1">
      <c r="C14" s="29" t="s">
        <v>82</v>
      </c>
      <c r="D14" s="29" t="s">
        <v>83</v>
      </c>
      <c r="E14" s="29" t="s">
        <v>84</v>
      </c>
      <c r="F14" s="29" t="s">
        <v>85</v>
      </c>
      <c r="G14" s="29" t="s">
        <v>86</v>
      </c>
      <c r="H14" s="29" t="s">
        <v>67</v>
      </c>
      <c r="I14" s="29" t="s">
        <v>87</v>
      </c>
      <c r="J14" s="29" t="s">
        <v>88</v>
      </c>
      <c r="K14" s="29" t="s">
        <v>89</v>
      </c>
      <c r="L14" s="29" t="s">
        <v>90</v>
      </c>
      <c r="M14" s="48" t="s">
        <v>103</v>
      </c>
      <c r="N14" s="48" t="s">
        <v>104</v>
      </c>
      <c r="O14" s="29" t="s">
        <v>91</v>
      </c>
      <c r="P14" s="29" t="s">
        <v>92</v>
      </c>
    </row>
    <row r="15" ht="15.75" customHeight="1">
      <c r="B15" s="27"/>
      <c r="C15" s="31" t="s">
        <v>93</v>
      </c>
      <c r="D15" s="32" t="s">
        <v>94</v>
      </c>
      <c r="E15" s="49">
        <v>1988.0</v>
      </c>
      <c r="F15" s="33"/>
      <c r="G15" s="34">
        <v>0.48</v>
      </c>
      <c r="H15" s="33"/>
      <c r="I15" s="35" t="str">
        <f t="shared" ref="I15:I18" si="9">IF(H15="","",H15/F15)</f>
        <v/>
      </c>
      <c r="J15" s="33"/>
      <c r="K15" s="35" t="str">
        <f t="shared" ref="K15:K18" si="10">IF(F15=0,"",J15/F15)</f>
        <v/>
      </c>
      <c r="L15" s="36"/>
      <c r="M15" s="37"/>
      <c r="N15" s="37"/>
      <c r="O15" s="37" t="str">
        <f t="shared" ref="O15:O18" si="11">IF(F15=0,"",E15/F15)</f>
        <v/>
      </c>
      <c r="P15" s="37" t="str">
        <f t="shared" ref="P15:P18" si="12">IF(J15&gt;0,E15/J15,"NM")</f>
        <v>NM</v>
      </c>
    </row>
    <row r="16" ht="15.75" customHeight="1">
      <c r="C16" s="38" t="s">
        <v>95</v>
      </c>
      <c r="D16" s="39" t="s">
        <v>96</v>
      </c>
      <c r="E16" s="40"/>
      <c r="F16" s="40"/>
      <c r="G16" s="41"/>
      <c r="H16" s="40"/>
      <c r="I16" s="42" t="str">
        <f t="shared" si="9"/>
        <v/>
      </c>
      <c r="J16" s="40"/>
      <c r="K16" s="42" t="str">
        <f t="shared" si="10"/>
        <v/>
      </c>
      <c r="L16" s="41"/>
      <c r="M16" s="43"/>
      <c r="N16" s="43"/>
      <c r="O16" s="43" t="str">
        <f t="shared" si="11"/>
        <v/>
      </c>
      <c r="P16" s="43" t="str">
        <f t="shared" si="12"/>
        <v>NM</v>
      </c>
    </row>
    <row r="17" ht="15.75" customHeight="1">
      <c r="B17" s="27"/>
      <c r="C17" s="38" t="s">
        <v>97</v>
      </c>
      <c r="D17" s="39" t="s">
        <v>96</v>
      </c>
      <c r="E17" s="40"/>
      <c r="F17" s="40"/>
      <c r="G17" s="41"/>
      <c r="H17" s="40"/>
      <c r="I17" s="42" t="str">
        <f t="shared" si="9"/>
        <v/>
      </c>
      <c r="J17" s="40"/>
      <c r="K17" s="42" t="str">
        <f t="shared" si="10"/>
        <v/>
      </c>
      <c r="L17" s="41"/>
      <c r="M17" s="43"/>
      <c r="N17" s="43"/>
      <c r="O17" s="43" t="str">
        <f t="shared" si="11"/>
        <v/>
      </c>
      <c r="P17" s="43" t="str">
        <f t="shared" si="12"/>
        <v>NM</v>
      </c>
    </row>
    <row r="18" ht="15.75" customHeight="1">
      <c r="C18" s="38" t="s">
        <v>98</v>
      </c>
      <c r="D18" s="39" t="s">
        <v>96</v>
      </c>
      <c r="E18" s="40"/>
      <c r="F18" s="40"/>
      <c r="G18" s="41"/>
      <c r="H18" s="40"/>
      <c r="I18" s="42" t="str">
        <f t="shared" si="9"/>
        <v/>
      </c>
      <c r="J18" s="40"/>
      <c r="K18" s="42" t="str">
        <f t="shared" si="10"/>
        <v/>
      </c>
      <c r="L18" s="41"/>
      <c r="M18" s="43"/>
      <c r="N18" s="43"/>
      <c r="O18" s="43" t="str">
        <f t="shared" si="11"/>
        <v/>
      </c>
      <c r="P18" s="43" t="str">
        <f t="shared" si="12"/>
        <v>NM</v>
      </c>
    </row>
    <row r="19" ht="15.75" customHeight="1">
      <c r="B19" s="27"/>
    </row>
    <row r="20" ht="15.75" customHeight="1">
      <c r="C20" s="44" t="s">
        <v>99</v>
      </c>
      <c r="M20" s="45"/>
      <c r="N20" s="45"/>
      <c r="O20" s="46" t="str">
        <f t="shared" ref="O20:P20" si="13">AVERAGE(O16:O18)</f>
        <v>#DIV/0!</v>
      </c>
      <c r="P20" s="46" t="str">
        <f t="shared" si="13"/>
        <v>#DIV/0!</v>
      </c>
    </row>
    <row r="21" ht="15.75" customHeight="1">
      <c r="B21" s="27"/>
      <c r="C21" s="44" t="s">
        <v>100</v>
      </c>
      <c r="M21" s="45"/>
      <c r="N21" s="45"/>
      <c r="O21" s="46" t="str">
        <f t="shared" ref="O21:P21" si="14">MEDIAN(O16:O18)</f>
        <v>#NUM!</v>
      </c>
      <c r="P21" s="46" t="str">
        <f t="shared" si="14"/>
        <v>#NUM!</v>
      </c>
    </row>
    <row r="22" ht="15.75" customHeight="1">
      <c r="C22" s="44" t="s">
        <v>101</v>
      </c>
      <c r="M22" s="45"/>
      <c r="N22" s="45"/>
      <c r="O22" s="46">
        <f t="shared" ref="O22:P22" si="15">MAX(O16:O18)</f>
        <v>0</v>
      </c>
      <c r="P22" s="46">
        <f t="shared" si="15"/>
        <v>0</v>
      </c>
    </row>
    <row r="23" ht="15.75" customHeight="1">
      <c r="B23" s="27"/>
      <c r="C23" s="44" t="s">
        <v>102</v>
      </c>
      <c r="M23" s="45"/>
      <c r="N23" s="45"/>
      <c r="O23" s="46">
        <f t="shared" ref="O23:P23" si="16">MIN(O16:O18)</f>
        <v>0</v>
      </c>
      <c r="P23" s="46">
        <f t="shared" si="16"/>
        <v>0</v>
      </c>
    </row>
    <row r="24" ht="15.75" customHeight="1"/>
    <row r="25" ht="15.75" customHeight="1">
      <c r="B25" s="30"/>
    </row>
    <row r="26" ht="15.75" customHeight="1"/>
    <row r="27" ht="15.75" customHeight="1">
      <c r="B27" s="30"/>
    </row>
    <row r="28" ht="15.75" customHeight="1"/>
    <row r="29" ht="15.75" customHeight="1">
      <c r="B29" s="27"/>
    </row>
    <row r="30" ht="15.75" customHeight="1"/>
    <row r="31" ht="15.75" customHeight="1">
      <c r="B31" s="30"/>
    </row>
    <row r="32" ht="15.75" customHeight="1"/>
    <row r="33" ht="15.75" customHeight="1">
      <c r="B33" s="3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42.0"/>
    <col customWidth="1" min="2" max="4" width="23.0"/>
    <col customWidth="1" min="5" max="5" width="22.0"/>
    <col customWidth="1" min="6" max="10" width="23.0"/>
    <col customWidth="1" min="11" max="13" width="2.0"/>
    <col customWidth="1" min="14" max="14" width="9.0"/>
    <col customWidth="1" min="15" max="15" width="23.0"/>
    <col customWidth="1" min="16" max="16" width="9.0"/>
    <col customWidth="1" min="17" max="17" width="8.78"/>
    <col customWidth="1" min="18" max="18" width="14.11"/>
    <col customWidth="1" min="19" max="19" width="20.67"/>
    <col customWidth="1" min="20" max="20" width="11.11"/>
    <col customWidth="1" min="21" max="21" width="13.78"/>
    <col customWidth="1" min="22" max="22" width="12.44"/>
    <col customWidth="1" min="23" max="23" width="13.78"/>
    <col customWidth="1" hidden="1" min="24" max="24" width="12.44"/>
    <col customWidth="1" hidden="1" min="25" max="25" width="14.78"/>
    <col customWidth="1" hidden="1" min="26" max="26" width="11.11"/>
    <col customWidth="1" hidden="1" min="27" max="27" width="13.78"/>
    <col customWidth="1" min="28" max="28" width="8.78"/>
  </cols>
  <sheetData>
    <row r="1">
      <c r="A1" s="50" t="s">
        <v>105</v>
      </c>
      <c r="B1" s="9"/>
      <c r="C1" s="9"/>
      <c r="D1" s="9"/>
      <c r="E1" s="9"/>
      <c r="F1" s="9"/>
      <c r="G1" s="9"/>
      <c r="H1" s="9"/>
      <c r="I1" s="9"/>
      <c r="J1" s="9"/>
      <c r="K1" s="9"/>
      <c r="L1" s="9"/>
      <c r="M1" s="9"/>
      <c r="N1" s="9"/>
      <c r="O1" s="9"/>
      <c r="P1" s="9"/>
      <c r="Q1" s="9"/>
      <c r="R1" s="9"/>
      <c r="S1" s="9"/>
      <c r="T1" s="9"/>
      <c r="U1" s="9"/>
      <c r="V1" s="9"/>
      <c r="W1" s="9"/>
      <c r="X1" s="9"/>
      <c r="Y1" s="9"/>
      <c r="Z1" s="9"/>
      <c r="AA1" s="9"/>
      <c r="AB1" s="9"/>
    </row>
    <row r="2">
      <c r="A2" s="9"/>
      <c r="B2" s="9"/>
      <c r="C2" s="9"/>
      <c r="D2" s="9"/>
      <c r="E2" s="9"/>
      <c r="F2" s="9"/>
      <c r="G2" s="9"/>
      <c r="H2" s="9"/>
      <c r="I2" s="9"/>
      <c r="J2" s="9"/>
      <c r="K2" s="9"/>
      <c r="L2" s="9"/>
      <c r="M2" s="9"/>
      <c r="N2" s="9"/>
      <c r="O2" s="9"/>
      <c r="P2" s="9"/>
      <c r="Q2" s="9"/>
      <c r="R2" s="9"/>
      <c r="S2" s="9"/>
      <c r="T2" s="9"/>
      <c r="U2" s="9"/>
      <c r="V2" s="9"/>
      <c r="W2" s="9"/>
      <c r="X2" s="9"/>
      <c r="Y2" s="9"/>
      <c r="Z2" s="9"/>
      <c r="AA2" s="9"/>
      <c r="AB2" s="9"/>
    </row>
    <row r="3">
      <c r="A3" s="50" t="s">
        <v>106</v>
      </c>
      <c r="B3" s="9"/>
      <c r="C3" s="9"/>
      <c r="D3" s="9"/>
      <c r="E3" s="9"/>
      <c r="F3" s="9"/>
      <c r="G3" s="9"/>
      <c r="H3" s="9"/>
      <c r="I3" s="9"/>
      <c r="J3" s="9"/>
      <c r="K3" s="9"/>
      <c r="L3" s="9"/>
      <c r="M3" s="9"/>
      <c r="N3" s="9"/>
      <c r="O3" s="9"/>
      <c r="P3" s="9"/>
      <c r="Q3" s="9"/>
      <c r="R3" s="9"/>
      <c r="S3" s="9"/>
      <c r="T3" s="9"/>
      <c r="U3" s="9"/>
      <c r="V3" s="9"/>
      <c r="W3" s="9"/>
      <c r="X3" s="9"/>
      <c r="Y3" s="9"/>
      <c r="Z3" s="9"/>
      <c r="AA3" s="9"/>
      <c r="AB3" s="9"/>
    </row>
    <row r="4">
      <c r="A4" s="51" t="s">
        <v>107</v>
      </c>
      <c r="B4" s="51" t="s">
        <v>108</v>
      </c>
      <c r="C4" s="51" t="s">
        <v>109</v>
      </c>
      <c r="D4" s="51" t="s">
        <v>110</v>
      </c>
      <c r="E4" s="51" t="s">
        <v>111</v>
      </c>
      <c r="F4" s="51" t="s">
        <v>112</v>
      </c>
      <c r="G4" s="51" t="s">
        <v>113</v>
      </c>
      <c r="H4" s="51" t="s">
        <v>114</v>
      </c>
      <c r="I4" s="51" t="s">
        <v>115</v>
      </c>
      <c r="J4" s="51" t="s">
        <v>116</v>
      </c>
      <c r="K4" s="9"/>
      <c r="L4" s="9"/>
      <c r="M4" s="9"/>
      <c r="N4" s="51" t="s">
        <v>117</v>
      </c>
      <c r="O4" s="51" t="s">
        <v>118</v>
      </c>
      <c r="P4" s="51" t="s">
        <v>119</v>
      </c>
      <c r="Q4" s="9" t="s">
        <v>120</v>
      </c>
      <c r="R4" s="9"/>
      <c r="S4" s="9"/>
      <c r="T4" s="9"/>
      <c r="U4" s="9"/>
      <c r="V4" s="9"/>
      <c r="W4" s="9"/>
      <c r="X4" s="9"/>
      <c r="Y4" s="9"/>
      <c r="Z4" s="9"/>
      <c r="AA4" s="9"/>
      <c r="AB4" s="9"/>
    </row>
    <row r="5">
      <c r="A5" s="50" t="s">
        <v>84</v>
      </c>
      <c r="B5" s="52"/>
      <c r="C5" s="52"/>
      <c r="D5" s="52"/>
      <c r="E5" s="52">
        <v>0.0</v>
      </c>
      <c r="F5" s="52">
        <v>65561.84863800506</v>
      </c>
      <c r="G5" s="52">
        <v>57386.73380074615</v>
      </c>
      <c r="H5" s="52">
        <v>47956.38513690644</v>
      </c>
      <c r="I5" s="52">
        <v>72523.92572721558</v>
      </c>
      <c r="J5" s="52">
        <v>63025.82372610779</v>
      </c>
      <c r="K5" s="9"/>
      <c r="L5" s="9"/>
      <c r="M5" s="9"/>
      <c r="N5" s="52"/>
      <c r="O5" s="52"/>
      <c r="P5" s="52"/>
      <c r="Q5" s="9"/>
      <c r="R5" s="9"/>
      <c r="S5" s="9"/>
      <c r="T5" s="9"/>
      <c r="U5" s="9"/>
      <c r="V5" s="9"/>
      <c r="W5" s="9"/>
      <c r="X5" s="9"/>
      <c r="Y5" s="9"/>
      <c r="Z5" s="9"/>
      <c r="AA5" s="9"/>
      <c r="AB5" s="9"/>
    </row>
    <row r="6">
      <c r="A6" s="50" t="s">
        <v>85</v>
      </c>
      <c r="B6" s="52"/>
      <c r="C6" s="52"/>
      <c r="D6" s="52"/>
      <c r="E6" s="52">
        <v>3758.5</v>
      </c>
      <c r="F6" s="52">
        <v>5084.5</v>
      </c>
      <c r="G6" s="52">
        <v>4866.9</v>
      </c>
      <c r="H6" s="52">
        <v>9402.3</v>
      </c>
      <c r="I6" s="52">
        <v>4575.0</v>
      </c>
      <c r="J6" s="52">
        <v>6488.6</v>
      </c>
      <c r="K6" s="9"/>
      <c r="L6" s="9"/>
      <c r="M6" s="9"/>
      <c r="N6" s="52"/>
      <c r="O6" s="52"/>
      <c r="P6" s="52"/>
      <c r="Q6" s="52">
        <f t="shared" ref="Q6:Q19" si="1">SUM(G6:J6)</f>
        <v>25332.8</v>
      </c>
      <c r="R6" s="9"/>
      <c r="S6" s="9"/>
      <c r="T6" s="9"/>
      <c r="U6" s="9"/>
      <c r="V6" s="9"/>
      <c r="W6" s="9"/>
      <c r="X6" s="9"/>
      <c r="Y6" s="9"/>
      <c r="Z6" s="9"/>
      <c r="AA6" s="9"/>
      <c r="AB6" s="9"/>
    </row>
    <row r="7">
      <c r="A7" s="50" t="s">
        <v>121</v>
      </c>
      <c r="B7" s="52"/>
      <c r="C7" s="52"/>
      <c r="D7" s="52"/>
      <c r="E7" s="52">
        <v>18.5</v>
      </c>
      <c r="F7" s="52">
        <v>18.1</v>
      </c>
      <c r="G7" s="52">
        <v>24.4</v>
      </c>
      <c r="H7" s="52">
        <v>17.2</v>
      </c>
      <c r="I7" s="52">
        <v>21.7</v>
      </c>
      <c r="J7" s="52">
        <v>38.3</v>
      </c>
      <c r="K7" s="9"/>
      <c r="L7" s="9"/>
      <c r="M7" s="9"/>
      <c r="N7" s="52"/>
      <c r="O7" s="52"/>
      <c r="P7" s="52"/>
      <c r="Q7" s="52">
        <f t="shared" si="1"/>
        <v>101.6</v>
      </c>
      <c r="R7" s="53" t="s">
        <v>26</v>
      </c>
      <c r="S7" s="54" t="s">
        <v>93</v>
      </c>
      <c r="T7" s="54" t="s">
        <v>122</v>
      </c>
      <c r="U7" s="54" t="s">
        <v>123</v>
      </c>
      <c r="V7" s="54" t="s">
        <v>124</v>
      </c>
      <c r="W7" s="54" t="s">
        <v>125</v>
      </c>
      <c r="X7" s="54" t="s">
        <v>126</v>
      </c>
      <c r="Y7" s="54" t="s">
        <v>98</v>
      </c>
      <c r="Z7" s="9"/>
      <c r="AA7" s="9"/>
      <c r="AB7" s="9"/>
    </row>
    <row r="8">
      <c r="A8" s="50" t="s">
        <v>127</v>
      </c>
      <c r="B8" s="52"/>
      <c r="C8" s="52"/>
      <c r="D8" s="52"/>
      <c r="E8" s="52">
        <v>3777.0</v>
      </c>
      <c r="F8" s="52">
        <v>5102.6</v>
      </c>
      <c r="G8" s="52">
        <v>4891.3</v>
      </c>
      <c r="H8" s="52">
        <v>9419.5</v>
      </c>
      <c r="I8" s="52">
        <v>4596.7</v>
      </c>
      <c r="J8" s="52">
        <v>6526.9</v>
      </c>
      <c r="K8" s="9"/>
      <c r="L8" s="9"/>
      <c r="M8" s="9"/>
      <c r="N8" s="52"/>
      <c r="O8" s="52"/>
      <c r="P8" s="52"/>
      <c r="Q8" s="52">
        <f t="shared" si="1"/>
        <v>25434.4</v>
      </c>
      <c r="R8" s="53" t="s">
        <v>128</v>
      </c>
      <c r="S8" s="54" t="s">
        <v>129</v>
      </c>
      <c r="T8" s="54" t="s">
        <v>130</v>
      </c>
      <c r="U8" s="54" t="s">
        <v>129</v>
      </c>
      <c r="V8" s="54" t="s">
        <v>129</v>
      </c>
      <c r="W8" s="54" t="s">
        <v>129</v>
      </c>
      <c r="X8" s="54" t="s">
        <v>129</v>
      </c>
      <c r="Y8" s="54" t="s">
        <v>129</v>
      </c>
      <c r="Z8" s="9"/>
      <c r="AA8" s="9"/>
      <c r="AB8" s="9"/>
    </row>
    <row r="9">
      <c r="A9" s="50" t="s">
        <v>131</v>
      </c>
      <c r="B9" s="52"/>
      <c r="C9" s="52"/>
      <c r="D9" s="52"/>
      <c r="E9" s="52">
        <v>0.0</v>
      </c>
      <c r="F9" s="52">
        <v>0.0</v>
      </c>
      <c r="G9" s="52">
        <v>0.0</v>
      </c>
      <c r="H9" s="52">
        <v>0.0</v>
      </c>
      <c r="I9" s="52">
        <v>0.0</v>
      </c>
      <c r="J9" s="52">
        <v>0.0</v>
      </c>
      <c r="K9" s="9"/>
      <c r="L9" s="9"/>
      <c r="M9" s="9"/>
      <c r="N9" s="52"/>
      <c r="O9" s="52"/>
      <c r="P9" s="52"/>
      <c r="Q9" s="52">
        <f t="shared" si="1"/>
        <v>0</v>
      </c>
      <c r="R9" s="55" t="s">
        <v>132</v>
      </c>
      <c r="S9" s="56">
        <v>136.27</v>
      </c>
      <c r="T9" s="56">
        <v>2023.0</v>
      </c>
      <c r="U9" s="56">
        <v>265.0</v>
      </c>
      <c r="V9" s="56">
        <v>815.0</v>
      </c>
      <c r="W9" s="56">
        <v>2387.0</v>
      </c>
      <c r="X9" s="56">
        <v>8.0</v>
      </c>
      <c r="Y9" s="56">
        <f>1411/8.8</f>
        <v>160.3409091</v>
      </c>
      <c r="Z9" s="9"/>
      <c r="AA9" s="9"/>
      <c r="AB9" s="9"/>
    </row>
    <row r="10">
      <c r="A10" s="50" t="s">
        <v>133</v>
      </c>
      <c r="B10" s="52"/>
      <c r="C10" s="52"/>
      <c r="D10" s="52"/>
      <c r="E10" s="52">
        <v>3896.3</v>
      </c>
      <c r="F10" s="52">
        <v>4598.8</v>
      </c>
      <c r="G10" s="52">
        <v>6325.0</v>
      </c>
      <c r="H10" s="52">
        <v>6451.6</v>
      </c>
      <c r="I10" s="52">
        <v>5168.8</v>
      </c>
      <c r="J10" s="52">
        <v>5552.7</v>
      </c>
      <c r="K10" s="9"/>
      <c r="L10" s="9"/>
      <c r="M10" s="9"/>
      <c r="N10" s="52"/>
      <c r="O10" s="52"/>
      <c r="P10" s="52"/>
      <c r="Q10" s="52">
        <f t="shared" si="1"/>
        <v>23498.1</v>
      </c>
      <c r="R10" s="55" t="s">
        <v>85</v>
      </c>
      <c r="S10" s="57">
        <v>1.0</v>
      </c>
      <c r="T10" s="57">
        <v>1.0</v>
      </c>
      <c r="U10" s="57">
        <v>1.0</v>
      </c>
      <c r="V10" s="57">
        <v>1.0</v>
      </c>
      <c r="W10" s="57">
        <v>1.0</v>
      </c>
      <c r="X10" s="57">
        <v>1.0</v>
      </c>
      <c r="Y10" s="57">
        <v>1.0</v>
      </c>
      <c r="Z10" s="9"/>
      <c r="AA10" s="9"/>
      <c r="AB10" s="9"/>
    </row>
    <row r="11">
      <c r="A11" s="50" t="s">
        <v>134</v>
      </c>
      <c r="B11" s="52"/>
      <c r="C11" s="52"/>
      <c r="D11" s="52"/>
      <c r="E11" s="52">
        <v>-717.5</v>
      </c>
      <c r="F11" s="52">
        <v>-306.4</v>
      </c>
      <c r="G11" s="52">
        <v>-2284.1</v>
      </c>
      <c r="H11" s="52">
        <v>1509.0</v>
      </c>
      <c r="I11" s="52">
        <v>-1282.7</v>
      </c>
      <c r="J11" s="52">
        <v>-87.7</v>
      </c>
      <c r="K11" s="9"/>
      <c r="L11" s="9"/>
      <c r="M11" s="9"/>
      <c r="N11" s="52"/>
      <c r="O11" s="52"/>
      <c r="P11" s="52"/>
      <c r="Q11" s="52">
        <f t="shared" si="1"/>
        <v>-2145.5</v>
      </c>
      <c r="R11" s="55" t="s">
        <v>135</v>
      </c>
      <c r="S11" s="57">
        <f>S10-S12</f>
        <v>0.804</v>
      </c>
      <c r="T11" s="57"/>
      <c r="U11" s="57">
        <f t="shared" ref="U11:Y11" si="2">U10-U12</f>
        <v>0.84</v>
      </c>
      <c r="V11" s="57">
        <f t="shared" si="2"/>
        <v>0.86</v>
      </c>
      <c r="W11" s="57">
        <f t="shared" si="2"/>
        <v>0.79</v>
      </c>
      <c r="X11" s="57">
        <f t="shared" si="2"/>
        <v>0.72</v>
      </c>
      <c r="Y11" s="57">
        <f t="shared" si="2"/>
        <v>0.82</v>
      </c>
      <c r="Z11" s="9"/>
      <c r="AA11" s="9"/>
      <c r="AB11" s="9"/>
    </row>
    <row r="12">
      <c r="A12" s="50" t="s">
        <v>136</v>
      </c>
      <c r="B12" s="52"/>
      <c r="C12" s="52"/>
      <c r="D12" s="52"/>
      <c r="E12" s="52">
        <v>135.3</v>
      </c>
      <c r="F12" s="52">
        <v>158.6</v>
      </c>
      <c r="G12" s="52">
        <v>210.6</v>
      </c>
      <c r="H12" s="52">
        <v>213.1</v>
      </c>
      <c r="I12" s="52">
        <v>171.2</v>
      </c>
      <c r="J12" s="52">
        <v>223.1</v>
      </c>
      <c r="K12" s="9"/>
      <c r="L12" s="9"/>
      <c r="M12" s="9"/>
      <c r="N12" s="52"/>
      <c r="O12" s="52"/>
      <c r="P12" s="52"/>
      <c r="Q12" s="52">
        <f t="shared" si="1"/>
        <v>818</v>
      </c>
      <c r="R12" s="55" t="s">
        <v>137</v>
      </c>
      <c r="S12" s="57">
        <v>0.196</v>
      </c>
      <c r="T12" s="57"/>
      <c r="U12" s="57">
        <v>0.16</v>
      </c>
      <c r="V12" s="57">
        <v>0.14</v>
      </c>
      <c r="W12" s="57">
        <v>0.21</v>
      </c>
      <c r="X12" s="57">
        <v>0.28</v>
      </c>
      <c r="Y12" s="57">
        <v>0.18</v>
      </c>
      <c r="Z12" s="9"/>
      <c r="AA12" s="9"/>
      <c r="AB12" s="9"/>
    </row>
    <row r="13">
      <c r="A13" s="50" t="s">
        <v>138</v>
      </c>
      <c r="B13" s="52"/>
      <c r="C13" s="52"/>
      <c r="D13" s="52"/>
      <c r="E13" s="52">
        <v>55.6</v>
      </c>
      <c r="F13" s="52">
        <v>86.6</v>
      </c>
      <c r="G13" s="52">
        <v>106.9</v>
      </c>
      <c r="H13" s="52">
        <v>88.7</v>
      </c>
      <c r="I13" s="52">
        <v>98.6</v>
      </c>
      <c r="J13" s="52">
        <v>88.1</v>
      </c>
      <c r="K13" s="9"/>
      <c r="L13" s="9"/>
      <c r="M13" s="9"/>
      <c r="N13" s="52"/>
      <c r="O13" s="52"/>
      <c r="P13" s="52"/>
      <c r="Q13" s="52">
        <f t="shared" si="1"/>
        <v>382.3</v>
      </c>
      <c r="R13" s="55" t="s">
        <v>139</v>
      </c>
      <c r="S13" s="57">
        <f>S12-S14</f>
        <v>0.1933</v>
      </c>
      <c r="T13" s="57"/>
      <c r="U13" s="57">
        <f t="shared" ref="U13:X13" si="3">U12-U14</f>
        <v>0.07</v>
      </c>
      <c r="V13" s="57">
        <f t="shared" si="3"/>
        <v>0.08</v>
      </c>
      <c r="W13" s="57">
        <f t="shared" si="3"/>
        <v>0.19</v>
      </c>
      <c r="X13" s="57">
        <f t="shared" si="3"/>
        <v>0.13</v>
      </c>
      <c r="Y13" s="57">
        <v>0.09</v>
      </c>
      <c r="Z13" s="9"/>
      <c r="AA13" s="9"/>
      <c r="AB13" s="9"/>
    </row>
    <row r="14">
      <c r="A14" s="50" t="s">
        <v>140</v>
      </c>
      <c r="B14" s="52"/>
      <c r="C14" s="52"/>
      <c r="D14" s="52"/>
      <c r="E14" s="52">
        <v>103.7</v>
      </c>
      <c r="F14" s="52">
        <v>85.1</v>
      </c>
      <c r="G14" s="52">
        <v>99.4</v>
      </c>
      <c r="H14" s="52">
        <v>92.1</v>
      </c>
      <c r="I14" s="52">
        <v>102.9</v>
      </c>
      <c r="J14" s="52">
        <v>103.1</v>
      </c>
      <c r="K14" s="9"/>
      <c r="L14" s="9"/>
      <c r="M14" s="9"/>
      <c r="N14" s="52"/>
      <c r="O14" s="52"/>
      <c r="P14" s="52"/>
      <c r="Q14" s="52">
        <f t="shared" si="1"/>
        <v>397.5</v>
      </c>
      <c r="R14" s="55" t="s">
        <v>88</v>
      </c>
      <c r="S14" s="57">
        <v>0.0027</v>
      </c>
      <c r="T14" s="57">
        <v>0.116</v>
      </c>
      <c r="U14" s="57">
        <v>0.09</v>
      </c>
      <c r="V14" s="57">
        <v>0.06</v>
      </c>
      <c r="W14" s="57">
        <v>0.02</v>
      </c>
      <c r="X14" s="57">
        <v>0.15</v>
      </c>
      <c r="Y14" s="57">
        <v>0.09</v>
      </c>
      <c r="Z14" s="9"/>
      <c r="AA14" s="9"/>
      <c r="AB14" s="9"/>
    </row>
    <row r="15">
      <c r="A15" s="50" t="s">
        <v>141</v>
      </c>
      <c r="B15" s="52"/>
      <c r="C15" s="52"/>
      <c r="D15" s="52"/>
      <c r="E15" s="52">
        <v>143.8</v>
      </c>
      <c r="F15" s="52">
        <v>167.9</v>
      </c>
      <c r="G15" s="52">
        <v>192.3</v>
      </c>
      <c r="H15" s="52">
        <v>331.3</v>
      </c>
      <c r="I15" s="52">
        <v>170.9</v>
      </c>
      <c r="J15" s="52">
        <v>270.8</v>
      </c>
      <c r="K15" s="9"/>
      <c r="L15" s="9"/>
      <c r="M15" s="9"/>
      <c r="N15" s="52"/>
      <c r="O15" s="52"/>
      <c r="P15" s="52"/>
      <c r="Q15" s="52">
        <f t="shared" si="1"/>
        <v>965.3</v>
      </c>
      <c r="R15" s="9"/>
      <c r="S15" s="9"/>
      <c r="T15" s="9"/>
      <c r="U15" s="9"/>
      <c r="V15" s="9"/>
      <c r="W15" s="9"/>
      <c r="X15" s="9"/>
      <c r="Y15" s="9"/>
      <c r="Z15" s="9"/>
      <c r="AA15" s="9"/>
      <c r="AB15" s="9"/>
    </row>
    <row r="16">
      <c r="A16" s="50" t="s">
        <v>142</v>
      </c>
      <c r="B16" s="52"/>
      <c r="C16" s="52"/>
      <c r="D16" s="52"/>
      <c r="E16" s="52">
        <v>3617.2</v>
      </c>
      <c r="F16" s="52">
        <v>4790.6</v>
      </c>
      <c r="G16" s="52">
        <v>4650.1</v>
      </c>
      <c r="H16" s="52">
        <v>8685.8</v>
      </c>
      <c r="I16" s="52">
        <v>4429.7</v>
      </c>
      <c r="J16" s="52">
        <v>6150.1</v>
      </c>
      <c r="K16" s="9"/>
      <c r="L16" s="9"/>
      <c r="M16" s="9"/>
      <c r="N16" s="52"/>
      <c r="O16" s="52"/>
      <c r="P16" s="52"/>
      <c r="Q16" s="52">
        <f t="shared" si="1"/>
        <v>23915.7</v>
      </c>
      <c r="R16" s="9"/>
      <c r="S16" s="9"/>
      <c r="T16" s="9"/>
      <c r="U16" s="9"/>
      <c r="V16" s="9"/>
      <c r="W16" s="9"/>
      <c r="X16" s="9"/>
      <c r="Y16" s="9"/>
      <c r="Z16" s="9"/>
      <c r="AA16" s="9"/>
      <c r="AB16" s="9"/>
    </row>
    <row r="17">
      <c r="A17" s="50" t="s">
        <v>143</v>
      </c>
      <c r="B17" s="52"/>
      <c r="C17" s="52"/>
      <c r="D17" s="52"/>
      <c r="E17" s="52">
        <v>159.8</v>
      </c>
      <c r="F17" s="52">
        <v>312.0</v>
      </c>
      <c r="G17" s="52">
        <v>241.2</v>
      </c>
      <c r="H17" s="52">
        <v>733.7</v>
      </c>
      <c r="I17" s="52">
        <v>167.0</v>
      </c>
      <c r="J17" s="52">
        <v>361.5</v>
      </c>
      <c r="K17" s="9"/>
      <c r="L17" s="9"/>
      <c r="M17" s="9"/>
      <c r="N17" s="52"/>
      <c r="O17" s="52"/>
      <c r="P17" s="52"/>
      <c r="Q17" s="52">
        <f t="shared" si="1"/>
        <v>1503.4</v>
      </c>
      <c r="R17" s="9"/>
      <c r="S17" s="58" t="s">
        <v>144</v>
      </c>
      <c r="T17" s="59" t="s">
        <v>145</v>
      </c>
      <c r="U17" s="60"/>
      <c r="V17" s="60"/>
      <c r="W17" s="61"/>
      <c r="X17" s="62" t="s">
        <v>146</v>
      </c>
      <c r="Y17" s="60"/>
      <c r="Z17" s="60"/>
      <c r="AA17" s="63"/>
      <c r="AB17" s="64"/>
    </row>
    <row r="18">
      <c r="A18" s="50" t="s">
        <v>147</v>
      </c>
      <c r="B18" s="52"/>
      <c r="C18" s="52"/>
      <c r="D18" s="52"/>
      <c r="E18" s="52">
        <v>37.7</v>
      </c>
      <c r="F18" s="52">
        <v>69.8</v>
      </c>
      <c r="G18" s="52">
        <v>81.4</v>
      </c>
      <c r="H18" s="52">
        <v>182.1</v>
      </c>
      <c r="I18" s="52">
        <v>39.8</v>
      </c>
      <c r="J18" s="52">
        <v>88.4</v>
      </c>
      <c r="K18" s="9"/>
      <c r="L18" s="9"/>
      <c r="M18" s="9"/>
      <c r="N18" s="52"/>
      <c r="O18" s="52"/>
      <c r="P18" s="52"/>
      <c r="Q18" s="52">
        <f t="shared" si="1"/>
        <v>391.7</v>
      </c>
      <c r="R18" s="9"/>
      <c r="S18" s="65" t="s">
        <v>82</v>
      </c>
      <c r="T18" s="58" t="s">
        <v>93</v>
      </c>
      <c r="U18" s="66" t="s">
        <v>98</v>
      </c>
      <c r="V18" s="66" t="s">
        <v>97</v>
      </c>
      <c r="W18" s="66" t="s">
        <v>148</v>
      </c>
      <c r="X18" s="58" t="s">
        <v>93</v>
      </c>
      <c r="Y18" s="66" t="s">
        <v>98</v>
      </c>
      <c r="Z18" s="66" t="s">
        <v>97</v>
      </c>
      <c r="AA18" s="67" t="s">
        <v>148</v>
      </c>
      <c r="AB18" s="64"/>
    </row>
    <row r="19">
      <c r="A19" s="50" t="s">
        <v>149</v>
      </c>
      <c r="B19" s="52"/>
      <c r="C19" s="52"/>
      <c r="D19" s="52"/>
      <c r="E19" s="52">
        <v>122.1</v>
      </c>
      <c r="F19" s="52">
        <v>242.2</v>
      </c>
      <c r="G19" s="52">
        <v>159.8</v>
      </c>
      <c r="H19" s="52">
        <v>551.6</v>
      </c>
      <c r="I19" s="52">
        <v>127.2</v>
      </c>
      <c r="J19" s="52">
        <v>273.1</v>
      </c>
      <c r="K19" s="9"/>
      <c r="L19" s="9"/>
      <c r="M19" s="9"/>
      <c r="N19" s="52"/>
      <c r="O19" s="52"/>
      <c r="P19" s="52"/>
      <c r="Q19" s="52">
        <f t="shared" si="1"/>
        <v>1111.7</v>
      </c>
      <c r="R19" s="9"/>
      <c r="S19" s="65" t="s">
        <v>128</v>
      </c>
      <c r="T19" s="65" t="s">
        <v>150</v>
      </c>
      <c r="U19" s="68" t="s">
        <v>151</v>
      </c>
      <c r="V19" s="68" t="s">
        <v>151</v>
      </c>
      <c r="W19" s="68" t="s">
        <v>151</v>
      </c>
      <c r="X19" s="65" t="s">
        <v>150</v>
      </c>
      <c r="Y19" s="68" t="s">
        <v>151</v>
      </c>
      <c r="Z19" s="68" t="s">
        <v>151</v>
      </c>
      <c r="AA19" s="69" t="s">
        <v>151</v>
      </c>
      <c r="AB19" s="64"/>
    </row>
    <row r="20">
      <c r="A20" s="50" t="s">
        <v>152</v>
      </c>
      <c r="B20" s="52"/>
      <c r="C20" s="52"/>
      <c r="D20" s="52"/>
      <c r="E20" s="52">
        <v>2498.0</v>
      </c>
      <c r="F20" s="52"/>
      <c r="G20" s="52">
        <v>2681.3</v>
      </c>
      <c r="H20" s="52"/>
      <c r="I20" s="52">
        <v>2845.3</v>
      </c>
      <c r="J20" s="52"/>
      <c r="K20" s="9"/>
      <c r="L20" s="9"/>
      <c r="M20" s="9"/>
      <c r="N20" s="52"/>
      <c r="O20" s="52"/>
      <c r="P20" s="52"/>
      <c r="Q20" s="9"/>
      <c r="R20" s="9"/>
      <c r="S20" s="70" t="s">
        <v>153</v>
      </c>
      <c r="T20" s="71"/>
      <c r="U20" s="72"/>
      <c r="V20" s="72"/>
      <c r="W20" s="72"/>
      <c r="X20" s="71"/>
      <c r="Y20" s="72"/>
      <c r="Z20" s="72"/>
      <c r="AA20" s="73"/>
      <c r="AB20" s="74"/>
    </row>
    <row r="21" ht="15.75" customHeight="1">
      <c r="A21" s="50" t="s">
        <v>154</v>
      </c>
      <c r="B21" s="52"/>
      <c r="C21" s="52"/>
      <c r="D21" s="52"/>
      <c r="E21" s="52">
        <v>118.1</v>
      </c>
      <c r="F21" s="52"/>
      <c r="G21" s="52">
        <v>62.5</v>
      </c>
      <c r="H21" s="52"/>
      <c r="I21" s="52">
        <v>57.5</v>
      </c>
      <c r="J21" s="52"/>
      <c r="K21" s="9"/>
      <c r="L21" s="9"/>
      <c r="M21" s="9"/>
      <c r="N21" s="52"/>
      <c r="O21" s="52"/>
      <c r="P21" s="52"/>
      <c r="Q21" s="9"/>
      <c r="R21" s="9"/>
      <c r="S21" s="75" t="s">
        <v>85</v>
      </c>
      <c r="T21" s="76">
        <v>17918.0</v>
      </c>
      <c r="U21" s="77">
        <v>12394.2</v>
      </c>
      <c r="V21" s="77">
        <v>25332.799999999996</v>
      </c>
      <c r="W21" s="77">
        <v>69889.72</v>
      </c>
      <c r="X21" s="78">
        <f t="shared" ref="X21:AA21" si="4">T21/T$21</f>
        <v>1</v>
      </c>
      <c r="Y21" s="79">
        <f t="shared" si="4"/>
        <v>1</v>
      </c>
      <c r="Z21" s="79">
        <f t="shared" si="4"/>
        <v>1</v>
      </c>
      <c r="AA21" s="17">
        <f t="shared" si="4"/>
        <v>1</v>
      </c>
      <c r="AB21" s="80"/>
    </row>
    <row r="22" ht="15.75" hidden="1" customHeight="1">
      <c r="A22" s="50" t="s">
        <v>155</v>
      </c>
      <c r="B22" s="52"/>
      <c r="C22" s="52"/>
      <c r="D22" s="52"/>
      <c r="E22" s="52">
        <v>0.0</v>
      </c>
      <c r="F22" s="52"/>
      <c r="G22" s="52"/>
      <c r="H22" s="52"/>
      <c r="I22" s="52"/>
      <c r="J22" s="52"/>
      <c r="K22" s="9"/>
      <c r="L22" s="9"/>
      <c r="M22" s="9"/>
      <c r="N22" s="52"/>
      <c r="O22" s="52"/>
      <c r="P22" s="52"/>
      <c r="Q22" s="9"/>
      <c r="R22" s="9"/>
      <c r="S22" s="81" t="s">
        <v>121</v>
      </c>
      <c r="T22" s="82">
        <v>71.365</v>
      </c>
      <c r="U22" s="77">
        <v>37.06</v>
      </c>
      <c r="V22" s="77">
        <v>101.6</v>
      </c>
      <c r="W22" s="77">
        <v>88.46000000000001</v>
      </c>
      <c r="X22" s="78">
        <f t="shared" ref="X22:AA22" si="5">T22/T$21</f>
        <v>0.003982866391</v>
      </c>
      <c r="Y22" s="79">
        <f t="shared" si="5"/>
        <v>0.002990108276</v>
      </c>
      <c r="Z22" s="79">
        <f t="shared" si="5"/>
        <v>0.00401061075</v>
      </c>
      <c r="AA22" s="17">
        <f t="shared" si="5"/>
        <v>0.001265708319</v>
      </c>
      <c r="AB22" s="80"/>
    </row>
    <row r="23" ht="15.75" hidden="1" customHeight="1">
      <c r="A23" s="50" t="s">
        <v>156</v>
      </c>
      <c r="B23" s="52"/>
      <c r="C23" s="52"/>
      <c r="D23" s="52"/>
      <c r="E23" s="52">
        <v>4391.2</v>
      </c>
      <c r="F23" s="52"/>
      <c r="G23" s="52">
        <v>6981.6</v>
      </c>
      <c r="H23" s="52"/>
      <c r="I23" s="52">
        <v>6755.2</v>
      </c>
      <c r="J23" s="52"/>
      <c r="K23" s="9"/>
      <c r="L23" s="9"/>
      <c r="M23" s="9"/>
      <c r="N23" s="52"/>
      <c r="O23" s="52"/>
      <c r="P23" s="52"/>
      <c r="Q23" s="9"/>
      <c r="R23" s="9"/>
      <c r="S23" s="81" t="s">
        <v>127</v>
      </c>
      <c r="T23" s="76">
        <f>SUM(T21:T22)</f>
        <v>17989.365</v>
      </c>
      <c r="U23" s="77">
        <v>12431.26</v>
      </c>
      <c r="V23" s="77">
        <v>25434.4</v>
      </c>
      <c r="W23" s="77">
        <v>69978.18</v>
      </c>
      <c r="X23" s="78">
        <f t="shared" ref="X23:AA23" si="6">T23/T$21</f>
        <v>1.003982866</v>
      </c>
      <c r="Y23" s="79">
        <f t="shared" si="6"/>
        <v>1.002990108</v>
      </c>
      <c r="Z23" s="79">
        <f t="shared" si="6"/>
        <v>1.004010611</v>
      </c>
      <c r="AA23" s="17">
        <f t="shared" si="6"/>
        <v>1.001265708</v>
      </c>
      <c r="AB23" s="80"/>
    </row>
    <row r="24" ht="15.75" customHeight="1">
      <c r="A24" s="50" t="s">
        <v>157</v>
      </c>
      <c r="B24" s="52"/>
      <c r="C24" s="52"/>
      <c r="D24" s="52"/>
      <c r="E24" s="52">
        <v>2.6</v>
      </c>
      <c r="F24" s="52"/>
      <c r="G24" s="52">
        <v>3.1</v>
      </c>
      <c r="H24" s="52"/>
      <c r="I24" s="52">
        <v>3.8</v>
      </c>
      <c r="J24" s="52"/>
      <c r="K24" s="9"/>
      <c r="L24" s="9"/>
      <c r="M24" s="9"/>
      <c r="N24" s="52"/>
      <c r="O24" s="52"/>
      <c r="P24" s="52"/>
      <c r="Q24" s="9"/>
      <c r="R24" s="9"/>
      <c r="S24" s="83" t="s">
        <v>67</v>
      </c>
      <c r="T24" s="84">
        <v>3199.0</v>
      </c>
      <c r="U24" s="85">
        <v>2556.8399999999992</v>
      </c>
      <c r="V24" s="85">
        <v>3980.1999999999935</v>
      </c>
      <c r="W24" s="85">
        <v>10066.050000000001</v>
      </c>
      <c r="X24" s="86">
        <f t="shared" ref="X24:AA24" si="7">T24/T$21</f>
        <v>0.1785355508</v>
      </c>
      <c r="Y24" s="87">
        <f t="shared" si="7"/>
        <v>0.2062932662</v>
      </c>
      <c r="Z24" s="87">
        <f t="shared" si="7"/>
        <v>0.1571164656</v>
      </c>
      <c r="AA24" s="88">
        <f t="shared" si="7"/>
        <v>0.1440276195</v>
      </c>
      <c r="AB24" s="80"/>
    </row>
    <row r="25" ht="15.75" hidden="1" customHeight="1">
      <c r="A25" s="50" t="s">
        <v>158</v>
      </c>
      <c r="B25" s="52"/>
      <c r="C25" s="52"/>
      <c r="D25" s="52"/>
      <c r="E25" s="52">
        <v>193.9</v>
      </c>
      <c r="F25" s="52"/>
      <c r="G25" s="52">
        <v>261.1</v>
      </c>
      <c r="H25" s="52"/>
      <c r="I25" s="52">
        <v>193.2</v>
      </c>
      <c r="J25" s="52"/>
      <c r="K25" s="9"/>
      <c r="L25" s="9"/>
      <c r="M25" s="9"/>
      <c r="N25" s="52"/>
      <c r="O25" s="52"/>
      <c r="P25" s="52"/>
      <c r="Q25" s="9"/>
      <c r="R25" s="9"/>
      <c r="S25" s="81" t="s">
        <v>136</v>
      </c>
      <c r="T25" s="76">
        <f>613.17+646.245</f>
        <v>1259.415</v>
      </c>
      <c r="U25" s="77">
        <v>715.98</v>
      </c>
      <c r="V25" s="77">
        <v>818.0</v>
      </c>
      <c r="W25" s="77">
        <v>1506.21</v>
      </c>
      <c r="X25" s="78">
        <f t="shared" ref="X25:AA25" si="8">T25/T$21</f>
        <v>0.07028769952</v>
      </c>
      <c r="Y25" s="79">
        <f t="shared" si="8"/>
        <v>0.05776734279</v>
      </c>
      <c r="Z25" s="79">
        <f t="shared" si="8"/>
        <v>0.03229015348</v>
      </c>
      <c r="AA25" s="17">
        <f t="shared" si="8"/>
        <v>0.02155123815</v>
      </c>
      <c r="AB25" s="80"/>
    </row>
    <row r="26" ht="15.75" hidden="1" customHeight="1">
      <c r="A26" s="50" t="s">
        <v>159</v>
      </c>
      <c r="B26" s="52"/>
      <c r="C26" s="52"/>
      <c r="D26" s="52"/>
      <c r="E26" s="52">
        <v>939.0</v>
      </c>
      <c r="F26" s="52"/>
      <c r="G26" s="52">
        <v>952.3</v>
      </c>
      <c r="H26" s="52"/>
      <c r="I26" s="52">
        <v>831.6</v>
      </c>
      <c r="J26" s="52"/>
      <c r="K26" s="9"/>
      <c r="L26" s="9"/>
      <c r="M26" s="9"/>
      <c r="N26" s="52"/>
      <c r="O26" s="52"/>
      <c r="P26" s="52"/>
      <c r="Q26" s="9"/>
      <c r="R26" s="9"/>
      <c r="S26" s="81" t="s">
        <v>141</v>
      </c>
      <c r="T26" s="76">
        <f>632.84+374.08+367.41+289.65+14.9</f>
        <v>1678.88</v>
      </c>
      <c r="U26" s="77">
        <v>512.6800000000001</v>
      </c>
      <c r="V26" s="77">
        <v>965.3</v>
      </c>
      <c r="W26" s="77">
        <v>4315.599999999999</v>
      </c>
      <c r="X26" s="78">
        <f t="shared" ref="X26:AA26" si="9">T26/T$21</f>
        <v>0.09369795736</v>
      </c>
      <c r="Y26" s="79">
        <f t="shared" si="9"/>
        <v>0.04136450921</v>
      </c>
      <c r="Z26" s="79">
        <f t="shared" si="9"/>
        <v>0.03810474957</v>
      </c>
      <c r="AA26" s="17">
        <f t="shared" si="9"/>
        <v>0.06174870925</v>
      </c>
      <c r="AB26" s="80"/>
    </row>
    <row r="27" ht="15.75" customHeight="1">
      <c r="A27" s="50" t="s">
        <v>160</v>
      </c>
      <c r="B27" s="52"/>
      <c r="C27" s="52"/>
      <c r="D27" s="52"/>
      <c r="E27" s="52">
        <v>5422.5</v>
      </c>
      <c r="F27" s="52"/>
      <c r="G27" s="52">
        <v>5836.5</v>
      </c>
      <c r="H27" s="52"/>
      <c r="I27" s="52">
        <v>6389.0</v>
      </c>
      <c r="J27" s="52"/>
      <c r="K27" s="9"/>
      <c r="L27" s="9"/>
      <c r="M27" s="9"/>
      <c r="N27" s="52"/>
      <c r="O27" s="52"/>
      <c r="P27" s="52"/>
      <c r="Q27" s="9"/>
      <c r="R27" s="9"/>
      <c r="S27" s="89" t="s">
        <v>88</v>
      </c>
      <c r="T27" s="90">
        <v>261.0</v>
      </c>
      <c r="U27" s="91">
        <f t="shared" ref="U27:W27" si="10">U24+U22-U25-U26</f>
        <v>1365.24</v>
      </c>
      <c r="V27" s="91">
        <f t="shared" si="10"/>
        <v>2298.5</v>
      </c>
      <c r="W27" s="91">
        <f t="shared" si="10"/>
        <v>4332.7</v>
      </c>
      <c r="X27" s="92">
        <f t="shared" ref="X27:AA27" si="11">T27/T$21</f>
        <v>0.01456635785</v>
      </c>
      <c r="Y27" s="93">
        <f t="shared" si="11"/>
        <v>0.1101515225</v>
      </c>
      <c r="Z27" s="93">
        <f t="shared" si="11"/>
        <v>0.09073217331</v>
      </c>
      <c r="AA27" s="94">
        <f t="shared" si="11"/>
        <v>0.06199338043</v>
      </c>
      <c r="AB27" s="74"/>
    </row>
    <row r="28" ht="15.75" customHeight="1">
      <c r="A28" s="50" t="s">
        <v>161</v>
      </c>
      <c r="B28" s="52"/>
      <c r="C28" s="52"/>
      <c r="D28" s="52"/>
      <c r="E28" s="52">
        <v>823.0</v>
      </c>
      <c r="F28" s="52"/>
      <c r="G28" s="52">
        <v>1486.7</v>
      </c>
      <c r="H28" s="52"/>
      <c r="I28" s="52">
        <v>1357.6</v>
      </c>
      <c r="J28" s="52"/>
      <c r="K28" s="9"/>
      <c r="L28" s="9"/>
      <c r="M28" s="9"/>
      <c r="N28" s="52"/>
      <c r="O28" s="52"/>
      <c r="P28" s="52"/>
      <c r="Q28" s="9"/>
      <c r="R28" s="9"/>
      <c r="S28" s="74"/>
      <c r="T28" s="74"/>
      <c r="U28" s="95"/>
      <c r="V28" s="95"/>
      <c r="W28" s="95"/>
      <c r="X28" s="9"/>
      <c r="Y28" s="9"/>
      <c r="Z28" s="9"/>
      <c r="AA28" s="9"/>
      <c r="AB28" s="74"/>
    </row>
    <row r="29" ht="15.75" customHeight="1">
      <c r="A29" s="50" t="s">
        <v>162</v>
      </c>
      <c r="B29" s="52"/>
      <c r="C29" s="52"/>
      <c r="D29" s="52"/>
      <c r="E29" s="52">
        <v>1824.9</v>
      </c>
      <c r="F29" s="52"/>
      <c r="G29" s="52">
        <v>1810.9</v>
      </c>
      <c r="H29" s="52"/>
      <c r="I29" s="52">
        <v>1889.7</v>
      </c>
      <c r="J29" s="52"/>
      <c r="K29" s="9"/>
      <c r="L29" s="9"/>
      <c r="M29" s="9"/>
      <c r="N29" s="52"/>
      <c r="O29" s="52"/>
      <c r="P29" s="52"/>
      <c r="Q29" s="9"/>
      <c r="R29" s="9"/>
      <c r="S29" s="96" t="s">
        <v>163</v>
      </c>
      <c r="T29" s="74"/>
      <c r="U29" s="95"/>
      <c r="V29" s="95"/>
      <c r="W29" s="95"/>
      <c r="X29" s="9"/>
      <c r="Y29" s="9"/>
      <c r="Z29" s="9"/>
      <c r="AA29" s="9"/>
      <c r="AB29" s="96" t="s">
        <v>164</v>
      </c>
    </row>
    <row r="30" ht="15.75" customHeight="1">
      <c r="A30" s="50" t="s">
        <v>165</v>
      </c>
      <c r="B30" s="52"/>
      <c r="C30" s="52"/>
      <c r="D30" s="52"/>
      <c r="E30" s="52">
        <v>831.2</v>
      </c>
      <c r="F30" s="52"/>
      <c r="G30" s="52">
        <v>2783.5</v>
      </c>
      <c r="H30" s="52"/>
      <c r="I30" s="52">
        <v>2012.9</v>
      </c>
      <c r="J30" s="52"/>
      <c r="K30" s="9"/>
      <c r="L30" s="9"/>
      <c r="M30" s="9"/>
      <c r="N30" s="52"/>
      <c r="O30" s="52"/>
      <c r="P30" s="52"/>
      <c r="Q30" s="9"/>
      <c r="R30" s="9"/>
      <c r="S30" s="70" t="s">
        <v>84</v>
      </c>
      <c r="T30" s="71">
        <v>35000.0</v>
      </c>
      <c r="U30" s="72">
        <v>51490.0</v>
      </c>
      <c r="V30" s="72">
        <v>68010.0</v>
      </c>
      <c r="W30" s="72">
        <v>46420.0</v>
      </c>
      <c r="X30" s="9"/>
      <c r="Y30" s="9"/>
      <c r="Z30" s="9"/>
      <c r="AA30" s="9"/>
      <c r="AB30" s="74"/>
    </row>
    <row r="31" ht="15.75" customHeight="1">
      <c r="A31" s="50" t="s">
        <v>166</v>
      </c>
      <c r="B31" s="52"/>
      <c r="C31" s="52"/>
      <c r="D31" s="52"/>
      <c r="E31" s="52">
        <v>0.0</v>
      </c>
      <c r="F31" s="52"/>
      <c r="G31" s="52">
        <v>0.0</v>
      </c>
      <c r="H31" s="52"/>
      <c r="I31" s="52">
        <v>0.0</v>
      </c>
      <c r="J31" s="52"/>
      <c r="K31" s="9"/>
      <c r="L31" s="9"/>
      <c r="M31" s="9"/>
      <c r="N31" s="52"/>
      <c r="O31" s="52"/>
      <c r="P31" s="52"/>
      <c r="Q31" s="9"/>
      <c r="R31" s="9"/>
      <c r="S31" s="80" t="s">
        <v>167</v>
      </c>
      <c r="T31" s="97">
        <f t="shared" ref="T31:W31" si="12">T30/T21</f>
        <v>1.953343007</v>
      </c>
      <c r="U31" s="98">
        <f t="shared" si="12"/>
        <v>4.154362524</v>
      </c>
      <c r="V31" s="98">
        <f t="shared" si="12"/>
        <v>2.684661782</v>
      </c>
      <c r="W31" s="98">
        <f t="shared" si="12"/>
        <v>0.6641892398</v>
      </c>
      <c r="X31" s="9"/>
      <c r="Y31" s="9"/>
      <c r="Z31" s="9"/>
      <c r="AA31" s="9"/>
      <c r="AB31" s="97">
        <f t="shared" ref="AB31:AB33" si="14">MEDIAN(U31:W31)</f>
        <v>2.684661782</v>
      </c>
    </row>
    <row r="32" ht="15.75" customHeight="1">
      <c r="A32" s="50" t="s">
        <v>67</v>
      </c>
      <c r="B32" s="52"/>
      <c r="C32" s="52"/>
      <c r="D32" s="52"/>
      <c r="E32" s="52">
        <v>579.7</v>
      </c>
      <c r="F32" s="52">
        <v>792.1</v>
      </c>
      <c r="G32" s="52">
        <v>826.0</v>
      </c>
      <c r="H32" s="52">
        <v>1441.7</v>
      </c>
      <c r="I32" s="52">
        <v>688.9</v>
      </c>
      <c r="J32" s="52">
        <v>1023.6</v>
      </c>
      <c r="K32" s="9"/>
      <c r="L32" s="9"/>
      <c r="M32" s="9"/>
      <c r="N32" s="52"/>
      <c r="O32" s="52"/>
      <c r="P32" s="52"/>
      <c r="Q32" s="9"/>
      <c r="R32" s="9"/>
      <c r="S32" s="80" t="s">
        <v>168</v>
      </c>
      <c r="T32" s="97">
        <f t="shared" ref="T32:W32" si="13">T30/T24</f>
        <v>10.94091904</v>
      </c>
      <c r="U32" s="97">
        <f t="shared" si="13"/>
        <v>20.13813927</v>
      </c>
      <c r="V32" s="97">
        <f t="shared" si="13"/>
        <v>17.08708105</v>
      </c>
      <c r="W32" s="97">
        <f t="shared" si="13"/>
        <v>4.611540773</v>
      </c>
      <c r="X32" s="9"/>
      <c r="Y32" s="9"/>
      <c r="Z32" s="9"/>
      <c r="AA32" s="9"/>
      <c r="AB32" s="97">
        <f t="shared" si="14"/>
        <v>17.08708105</v>
      </c>
    </row>
    <row r="33" ht="15.75" customHeight="1">
      <c r="A33" s="50" t="s">
        <v>169</v>
      </c>
      <c r="B33" s="18"/>
      <c r="C33" s="18"/>
      <c r="D33" s="18"/>
      <c r="E33" s="18">
        <v>0.1542370626579753</v>
      </c>
      <c r="F33" s="18">
        <v>0.1557871963811584</v>
      </c>
      <c r="G33" s="18">
        <v>0.1697178902381393</v>
      </c>
      <c r="H33" s="18">
        <v>0.1533348223307063</v>
      </c>
      <c r="I33" s="18">
        <v>0.1505792349726776</v>
      </c>
      <c r="J33" s="18">
        <v>0.1577535986191166</v>
      </c>
      <c r="K33" s="9"/>
      <c r="L33" s="9"/>
      <c r="M33" s="9"/>
      <c r="N33" s="18"/>
      <c r="O33" s="18"/>
      <c r="P33" s="18"/>
      <c r="Q33" s="9"/>
      <c r="R33" s="9"/>
      <c r="S33" s="74" t="s">
        <v>170</v>
      </c>
      <c r="T33" s="99">
        <f t="shared" ref="T33:W33" si="15">T30/T27</f>
        <v>134.0996169</v>
      </c>
      <c r="U33" s="100">
        <f t="shared" si="15"/>
        <v>37.71498052</v>
      </c>
      <c r="V33" s="100">
        <f t="shared" si="15"/>
        <v>29.5888623</v>
      </c>
      <c r="W33" s="100">
        <f t="shared" si="15"/>
        <v>10.71387357</v>
      </c>
      <c r="X33" s="9"/>
      <c r="Y33" s="9"/>
      <c r="Z33" s="9"/>
      <c r="AA33" s="9"/>
      <c r="AB33" s="99">
        <f t="shared" si="14"/>
        <v>29.5888623</v>
      </c>
    </row>
    <row r="34" ht="15.75" customHeight="1">
      <c r="A34" s="50" t="s">
        <v>88</v>
      </c>
      <c r="B34" s="52"/>
      <c r="C34" s="52"/>
      <c r="D34" s="52"/>
      <c r="E34" s="52">
        <v>319.1</v>
      </c>
      <c r="F34" s="52">
        <v>483.7</v>
      </c>
      <c r="G34" s="52">
        <v>447.5</v>
      </c>
      <c r="H34" s="52">
        <v>914.5</v>
      </c>
      <c r="I34" s="52">
        <v>368.5</v>
      </c>
      <c r="J34" s="52">
        <v>568.0</v>
      </c>
      <c r="K34" s="9"/>
      <c r="L34" s="9"/>
      <c r="M34" s="9"/>
      <c r="N34" s="52"/>
      <c r="O34" s="52"/>
      <c r="P34" s="52"/>
      <c r="Q34" s="9"/>
      <c r="R34" s="9"/>
      <c r="S34" s="9"/>
      <c r="T34" s="52"/>
      <c r="U34" s="9"/>
      <c r="V34" s="9"/>
      <c r="W34" s="9"/>
      <c r="X34" s="9"/>
      <c r="Y34" s="9"/>
      <c r="Z34" s="9"/>
      <c r="AA34" s="9"/>
      <c r="AB34" s="9"/>
    </row>
    <row r="35" ht="15.75" customHeight="1">
      <c r="A35" s="50" t="s">
        <v>89</v>
      </c>
      <c r="B35" s="18"/>
      <c r="C35" s="18"/>
      <c r="D35" s="18"/>
      <c r="E35" s="18">
        <v>0.08490089131302381</v>
      </c>
      <c r="F35" s="18">
        <v>0.09513226472612843</v>
      </c>
      <c r="G35" s="18">
        <v>0.09194764634572315</v>
      </c>
      <c r="H35" s="18">
        <v>0.0972634355423673</v>
      </c>
      <c r="I35" s="18">
        <v>0.0805464480874317</v>
      </c>
      <c r="J35" s="18">
        <v>0.0875381438214715</v>
      </c>
      <c r="K35" s="9"/>
      <c r="L35" s="9"/>
      <c r="M35" s="9"/>
      <c r="N35" s="18"/>
      <c r="O35" s="18"/>
      <c r="P35" s="18"/>
      <c r="Q35" s="9"/>
      <c r="R35" s="9"/>
      <c r="S35" s="9"/>
      <c r="T35" s="9"/>
      <c r="U35" s="9"/>
      <c r="V35" s="9"/>
      <c r="W35" s="9"/>
      <c r="X35" s="9"/>
      <c r="Y35" s="9"/>
      <c r="Z35" s="9"/>
      <c r="AA35" s="9"/>
      <c r="AB35" s="9"/>
    </row>
    <row r="36" ht="15.75" customHeight="1">
      <c r="A36" s="50" t="s">
        <v>171</v>
      </c>
      <c r="B36" s="101"/>
      <c r="C36" s="101"/>
      <c r="D36" s="101"/>
      <c r="E36" s="101">
        <v>0.1532872291378515</v>
      </c>
      <c r="F36" s="101"/>
      <c r="G36" s="101">
        <v>0.4769125331962649</v>
      </c>
      <c r="H36" s="101"/>
      <c r="I36" s="101">
        <v>0.3150571294412271</v>
      </c>
      <c r="J36" s="101"/>
      <c r="K36" s="9"/>
      <c r="L36" s="9"/>
      <c r="M36" s="9"/>
      <c r="N36" s="101"/>
      <c r="O36" s="101"/>
      <c r="P36" s="101"/>
      <c r="Q36" s="9"/>
      <c r="R36" s="9"/>
      <c r="S36" s="9"/>
      <c r="T36" s="9"/>
      <c r="U36" s="9"/>
      <c r="V36" s="9"/>
      <c r="W36" s="9"/>
      <c r="X36" s="9"/>
      <c r="Y36" s="9"/>
      <c r="Z36" s="9"/>
      <c r="AA36" s="9"/>
      <c r="AB36" s="9"/>
    </row>
    <row r="37" ht="15.75" customHeight="1">
      <c r="A37" s="50" t="s">
        <v>172</v>
      </c>
      <c r="B37" s="18"/>
      <c r="C37" s="18"/>
      <c r="D37" s="18"/>
      <c r="E37" s="18"/>
      <c r="F37" s="18"/>
      <c r="G37" s="18"/>
      <c r="H37" s="18"/>
      <c r="I37" s="18">
        <v>0.2172409205800186</v>
      </c>
      <c r="J37" s="18">
        <v>0.2761530140623463</v>
      </c>
      <c r="K37" s="9"/>
      <c r="L37" s="9"/>
      <c r="M37" s="9"/>
      <c r="N37" s="18"/>
      <c r="O37" s="18"/>
      <c r="P37" s="18"/>
      <c r="Q37" s="9"/>
      <c r="R37" s="9"/>
      <c r="S37" s="9"/>
      <c r="T37" s="9"/>
      <c r="U37" s="9"/>
      <c r="V37" s="9"/>
      <c r="W37" s="9"/>
      <c r="X37" s="9"/>
      <c r="Y37" s="9"/>
      <c r="Z37" s="9"/>
      <c r="AA37" s="9"/>
      <c r="AB37" s="9"/>
    </row>
    <row r="38" ht="15.75" customHeight="1">
      <c r="A38" s="50" t="s">
        <v>173</v>
      </c>
      <c r="B38" s="18"/>
      <c r="C38" s="18"/>
      <c r="D38" s="18"/>
      <c r="E38" s="18"/>
      <c r="F38" s="18"/>
      <c r="G38" s="18"/>
      <c r="H38" s="18"/>
      <c r="I38" s="18">
        <v>0.1883732965326893</v>
      </c>
      <c r="J38" s="18">
        <v>0.2922610781466987</v>
      </c>
      <c r="K38" s="9"/>
      <c r="L38" s="9"/>
      <c r="M38" s="9"/>
      <c r="N38" s="18"/>
      <c r="O38" s="18"/>
      <c r="P38" s="18"/>
      <c r="Q38" s="9"/>
      <c r="R38" s="9"/>
      <c r="S38" s="102" t="s">
        <v>138</v>
      </c>
      <c r="T38" s="9">
        <v>30.67</v>
      </c>
      <c r="U38" s="52">
        <v>280.53999999999996</v>
      </c>
      <c r="V38" s="52">
        <v>382.30000000000007</v>
      </c>
      <c r="W38" s="52">
        <v>1511.23</v>
      </c>
      <c r="X38" s="9"/>
      <c r="Y38" s="9"/>
      <c r="Z38" s="9"/>
      <c r="AA38" s="9"/>
      <c r="AB38" s="9"/>
    </row>
    <row r="39" ht="15.75" customHeight="1">
      <c r="A39" s="50" t="s">
        <v>174</v>
      </c>
      <c r="B39" s="18"/>
      <c r="C39" s="18"/>
      <c r="D39" s="18"/>
      <c r="E39" s="18"/>
      <c r="F39" s="18"/>
      <c r="G39" s="18"/>
      <c r="H39" s="18"/>
      <c r="I39" s="18">
        <v>0.1548104042619868</v>
      </c>
      <c r="J39" s="18">
        <v>0.1742815794914203</v>
      </c>
      <c r="K39" s="9"/>
      <c r="L39" s="9"/>
      <c r="M39" s="9"/>
      <c r="N39" s="18"/>
      <c r="O39" s="18"/>
      <c r="P39" s="18"/>
      <c r="Q39" s="9"/>
      <c r="R39" s="9"/>
      <c r="S39" s="102" t="s">
        <v>140</v>
      </c>
      <c r="T39" s="9"/>
      <c r="U39" s="52">
        <v>71.07</v>
      </c>
      <c r="V39" s="52">
        <v>397.5</v>
      </c>
      <c r="W39" s="52">
        <v>1509.4099999999999</v>
      </c>
      <c r="X39" s="9"/>
      <c r="Y39" s="9"/>
      <c r="Z39" s="9"/>
      <c r="AA39" s="9"/>
      <c r="AB39" s="9"/>
    </row>
    <row r="40" ht="15.75" customHeight="1">
      <c r="A40" s="50" t="s">
        <v>175</v>
      </c>
      <c r="B40" s="101"/>
      <c r="C40" s="101"/>
      <c r="D40" s="101"/>
      <c r="E40" s="101"/>
      <c r="F40" s="101"/>
      <c r="G40" s="101"/>
      <c r="H40" s="101">
        <v>2.074938133838684</v>
      </c>
      <c r="I40" s="101">
        <v>3.030834342325976</v>
      </c>
      <c r="J40" s="101">
        <v>2.48791384000615</v>
      </c>
      <c r="K40" s="9"/>
      <c r="L40" s="9"/>
      <c r="M40" s="9"/>
      <c r="N40" s="101"/>
      <c r="O40" s="101"/>
      <c r="P40" s="101"/>
      <c r="Q40" s="9"/>
      <c r="R40" s="9"/>
      <c r="S40" s="102" t="s">
        <v>143</v>
      </c>
      <c r="T40" s="9"/>
      <c r="U40" s="52">
        <v>1013.63</v>
      </c>
      <c r="V40" s="52">
        <v>1503.4</v>
      </c>
      <c r="W40" s="52">
        <v>1339.6299999999999</v>
      </c>
      <c r="X40" s="9"/>
      <c r="Y40" s="9"/>
      <c r="Z40" s="9"/>
      <c r="AA40" s="9"/>
      <c r="AB40" s="9"/>
    </row>
    <row r="41" ht="15.75" customHeight="1">
      <c r="A41" s="50" t="s">
        <v>176</v>
      </c>
      <c r="B41" s="101"/>
      <c r="C41" s="101"/>
      <c r="D41" s="101"/>
      <c r="E41" s="101"/>
      <c r="F41" s="101"/>
      <c r="G41" s="101"/>
      <c r="H41" s="101">
        <v>13.17664105973525</v>
      </c>
      <c r="I41" s="101">
        <v>19.34642028629007</v>
      </c>
      <c r="J41" s="101">
        <v>15.83483838151545</v>
      </c>
      <c r="K41" s="9"/>
      <c r="L41" s="9"/>
      <c r="M41" s="9"/>
      <c r="N41" s="101"/>
      <c r="O41" s="101"/>
      <c r="P41" s="101"/>
      <c r="Q41" s="9"/>
      <c r="R41" s="9"/>
      <c r="S41" s="102" t="s">
        <v>147</v>
      </c>
      <c r="T41" s="9"/>
      <c r="U41" s="52">
        <v>114.94999999999999</v>
      </c>
      <c r="V41" s="52">
        <v>391.70000000000005</v>
      </c>
      <c r="W41" s="52">
        <v>350.95</v>
      </c>
      <c r="X41" s="9"/>
      <c r="Y41" s="9"/>
      <c r="Z41" s="9"/>
      <c r="AA41" s="9"/>
      <c r="AB41" s="9"/>
    </row>
    <row r="42" ht="15.75" customHeight="1">
      <c r="A42" s="50" t="s">
        <v>177</v>
      </c>
      <c r="B42" s="101"/>
      <c r="C42" s="101"/>
      <c r="D42" s="101"/>
      <c r="E42" s="101"/>
      <c r="F42" s="101"/>
      <c r="G42" s="101"/>
      <c r="H42" s="101">
        <v>22.15280170773579</v>
      </c>
      <c r="I42" s="101">
        <v>32.75400854810567</v>
      </c>
      <c r="J42" s="101">
        <v>27.42041493413434</v>
      </c>
      <c r="K42" s="9"/>
      <c r="L42" s="9"/>
      <c r="M42" s="9"/>
      <c r="N42" s="101"/>
      <c r="O42" s="101"/>
      <c r="P42" s="101"/>
      <c r="Q42" s="9"/>
      <c r="R42" s="9"/>
      <c r="S42" s="102" t="s">
        <v>149</v>
      </c>
      <c r="T42" s="9"/>
      <c r="U42" s="52">
        <v>898.6800000000001</v>
      </c>
      <c r="V42" s="52">
        <v>1111.7000000000003</v>
      </c>
      <c r="W42" s="52">
        <v>988.6799999999998</v>
      </c>
      <c r="X42" s="9"/>
      <c r="Y42" s="9"/>
      <c r="Z42" s="9"/>
      <c r="AA42" s="9"/>
      <c r="AB42" s="9"/>
    </row>
    <row r="43" ht="15.75" customHeight="1">
      <c r="A43" s="50" t="s">
        <v>178</v>
      </c>
      <c r="B43" s="101"/>
      <c r="C43" s="101"/>
      <c r="D43" s="101"/>
      <c r="E43" s="101"/>
      <c r="F43" s="101"/>
      <c r="G43" s="101"/>
      <c r="H43" s="101">
        <v>44.58156097137346</v>
      </c>
      <c r="I43" s="101">
        <v>67.10207783791226</v>
      </c>
      <c r="J43" s="101">
        <v>56.69319396069784</v>
      </c>
      <c r="K43" s="9"/>
      <c r="L43" s="9"/>
      <c r="M43" s="9"/>
      <c r="N43" s="101"/>
      <c r="O43" s="101"/>
      <c r="P43" s="101"/>
      <c r="Q43" s="9"/>
      <c r="R43" s="9"/>
      <c r="S43" s="9"/>
      <c r="T43" s="9"/>
      <c r="U43" s="9"/>
      <c r="V43" s="9"/>
      <c r="W43" s="9"/>
      <c r="X43" s="9"/>
      <c r="Y43" s="9"/>
      <c r="Z43" s="9"/>
      <c r="AA43" s="9"/>
      <c r="AB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ht="15.75" customHeight="1">
      <c r="A45" s="51" t="s">
        <v>179</v>
      </c>
      <c r="B45" s="51" t="s">
        <v>108</v>
      </c>
      <c r="C45" s="51" t="s">
        <v>109</v>
      </c>
      <c r="D45" s="51" t="s">
        <v>110</v>
      </c>
      <c r="E45" s="51" t="s">
        <v>111</v>
      </c>
      <c r="F45" s="51" t="s">
        <v>112</v>
      </c>
      <c r="G45" s="51" t="s">
        <v>113</v>
      </c>
      <c r="H45" s="51" t="s">
        <v>114</v>
      </c>
      <c r="I45" s="51" t="s">
        <v>115</v>
      </c>
      <c r="J45" s="51" t="s">
        <v>116</v>
      </c>
      <c r="K45" s="9"/>
      <c r="L45" s="9"/>
      <c r="M45" s="9"/>
      <c r="N45" s="51" t="s">
        <v>117</v>
      </c>
      <c r="O45" s="51" t="s">
        <v>118</v>
      </c>
      <c r="P45" s="51" t="s">
        <v>119</v>
      </c>
      <c r="Q45" s="9"/>
      <c r="R45" s="9"/>
      <c r="S45" s="9"/>
      <c r="T45" s="9"/>
      <c r="U45" s="9"/>
      <c r="V45" s="9"/>
      <c r="W45" s="9"/>
      <c r="X45" s="9"/>
      <c r="Y45" s="9"/>
      <c r="Z45" s="9"/>
      <c r="AA45" s="9"/>
      <c r="AB45" s="9"/>
    </row>
    <row r="46" ht="15.75" customHeight="1">
      <c r="A46" s="50" t="s">
        <v>85</v>
      </c>
      <c r="B46" s="18"/>
      <c r="C46" s="18"/>
      <c r="D46" s="18"/>
      <c r="E46" s="18">
        <v>1.0</v>
      </c>
      <c r="F46" s="18">
        <v>1.0</v>
      </c>
      <c r="G46" s="18">
        <v>1.0</v>
      </c>
      <c r="H46" s="18">
        <v>1.0</v>
      </c>
      <c r="I46" s="18">
        <v>1.0</v>
      </c>
      <c r="J46" s="18">
        <v>1.0</v>
      </c>
      <c r="K46" s="9"/>
      <c r="L46" s="9"/>
      <c r="M46" s="9"/>
      <c r="N46" s="18"/>
      <c r="O46" s="18"/>
      <c r="P46" s="18"/>
      <c r="Q46" s="9"/>
      <c r="R46" s="9"/>
      <c r="S46" s="9"/>
      <c r="T46" s="9"/>
      <c r="U46" s="9"/>
      <c r="V46" s="9"/>
      <c r="W46" s="9"/>
      <c r="X46" s="9"/>
      <c r="Y46" s="9"/>
      <c r="Z46" s="9"/>
      <c r="AA46" s="9"/>
      <c r="AB46" s="9"/>
    </row>
    <row r="47" ht="15.75" customHeight="1">
      <c r="A47" s="50" t="s">
        <v>121</v>
      </c>
      <c r="B47" s="18"/>
      <c r="C47" s="18"/>
      <c r="D47" s="18"/>
      <c r="E47" s="18">
        <v>0.004922176400159638</v>
      </c>
      <c r="F47" s="18">
        <v>0.003559838725538401</v>
      </c>
      <c r="G47" s="18">
        <v>0.005013458258850603</v>
      </c>
      <c r="H47" s="18">
        <v>0.001829339629665082</v>
      </c>
      <c r="I47" s="18">
        <v>0.004743169398907104</v>
      </c>
      <c r="J47" s="18">
        <v>0.00590266004993373</v>
      </c>
      <c r="K47" s="9"/>
      <c r="L47" s="9"/>
      <c r="M47" s="9"/>
      <c r="N47" s="18"/>
      <c r="O47" s="18"/>
      <c r="P47" s="18"/>
      <c r="Q47" s="9"/>
      <c r="R47" s="9"/>
      <c r="S47" s="9"/>
      <c r="T47" s="9"/>
      <c r="U47" s="9"/>
      <c r="V47" s="9"/>
      <c r="W47" s="9"/>
      <c r="X47" s="9"/>
      <c r="Y47" s="9"/>
      <c r="Z47" s="9"/>
      <c r="AA47" s="9"/>
      <c r="AB47" s="9"/>
    </row>
    <row r="48" ht="15.75" customHeight="1">
      <c r="A48" s="50" t="s">
        <v>127</v>
      </c>
      <c r="B48" s="18"/>
      <c r="C48" s="18"/>
      <c r="D48" s="18"/>
      <c r="E48" s="18">
        <v>1.00492217640016</v>
      </c>
      <c r="F48" s="18">
        <v>1.003559838725538</v>
      </c>
      <c r="G48" s="18">
        <v>1.005013458258851</v>
      </c>
      <c r="H48" s="18">
        <v>1.001829339629665</v>
      </c>
      <c r="I48" s="18">
        <v>1.004743169398907</v>
      </c>
      <c r="J48" s="18">
        <v>1.005902660049934</v>
      </c>
      <c r="K48" s="9"/>
      <c r="L48" s="9"/>
      <c r="M48" s="9"/>
      <c r="N48" s="18"/>
      <c r="O48" s="18"/>
      <c r="P48" s="18"/>
      <c r="Q48" s="9"/>
      <c r="R48" s="9"/>
      <c r="S48" s="9"/>
      <c r="T48" s="9"/>
      <c r="U48" s="9"/>
      <c r="V48" s="9"/>
      <c r="W48" s="9"/>
      <c r="X48" s="9"/>
      <c r="Y48" s="9"/>
      <c r="Z48" s="9"/>
      <c r="AA48" s="9"/>
      <c r="AB48" s="9"/>
    </row>
    <row r="49" ht="15.75" customHeight="1">
      <c r="A49" s="50" t="s">
        <v>131</v>
      </c>
      <c r="B49" s="18"/>
      <c r="C49" s="18"/>
      <c r="D49" s="18"/>
      <c r="E49" s="18">
        <v>0.0</v>
      </c>
      <c r="F49" s="18">
        <v>0.0</v>
      </c>
      <c r="G49" s="18">
        <v>0.0</v>
      </c>
      <c r="H49" s="18">
        <v>0.0</v>
      </c>
      <c r="I49" s="18">
        <v>0.0</v>
      </c>
      <c r="J49" s="18">
        <v>0.0</v>
      </c>
      <c r="K49" s="9"/>
      <c r="L49" s="9"/>
      <c r="M49" s="9"/>
      <c r="N49" s="18"/>
      <c r="O49" s="18"/>
      <c r="P49" s="18"/>
      <c r="Q49" s="9"/>
      <c r="R49" s="9"/>
      <c r="S49" s="9"/>
      <c r="T49" s="9"/>
      <c r="U49" s="9"/>
      <c r="V49" s="9"/>
      <c r="W49" s="9"/>
      <c r="X49" s="9"/>
      <c r="Y49" s="9"/>
      <c r="Z49" s="9"/>
      <c r="AA49" s="9"/>
      <c r="AB49" s="9"/>
    </row>
    <row r="50" ht="15.75" customHeight="1">
      <c r="A50" s="50" t="s">
        <v>133</v>
      </c>
      <c r="B50" s="18"/>
      <c r="C50" s="18"/>
      <c r="D50" s="18"/>
      <c r="E50" s="18">
        <v>1.036663562591459</v>
      </c>
      <c r="F50" s="18">
        <v>0.9044743829285082</v>
      </c>
      <c r="G50" s="18">
        <v>1.299595224886478</v>
      </c>
      <c r="H50" s="18">
        <v>0.6861725322527468</v>
      </c>
      <c r="I50" s="18">
        <v>1.129792349726776</v>
      </c>
      <c r="J50" s="18">
        <v>0.8557624140800788</v>
      </c>
      <c r="K50" s="9"/>
      <c r="L50" s="9"/>
      <c r="M50" s="9"/>
      <c r="N50" s="18"/>
      <c r="O50" s="18"/>
      <c r="P50" s="18"/>
      <c r="Q50" s="9"/>
      <c r="R50" s="9"/>
      <c r="S50" s="9"/>
      <c r="T50" s="9"/>
      <c r="U50" s="9"/>
      <c r="V50" s="9"/>
      <c r="W50" s="9"/>
      <c r="X50" s="9"/>
      <c r="Y50" s="9"/>
      <c r="Z50" s="9"/>
      <c r="AA50" s="9"/>
      <c r="AB50" s="9"/>
    </row>
    <row r="51" ht="15.75" customHeight="1">
      <c r="A51" s="50" t="s">
        <v>134</v>
      </c>
      <c r="B51" s="18"/>
      <c r="C51" s="18"/>
      <c r="D51" s="18"/>
      <c r="E51" s="18">
        <v>-0.1909006252494346</v>
      </c>
      <c r="F51" s="18">
        <v>-0.06026157930966663</v>
      </c>
      <c r="G51" s="18">
        <v>-0.4693131151246173</v>
      </c>
      <c r="H51" s="18">
        <v>0.160492645416547</v>
      </c>
      <c r="I51" s="18">
        <v>-0.2803715846994536</v>
      </c>
      <c r="J51" s="18">
        <v>-0.01351601269919551</v>
      </c>
      <c r="K51" s="9"/>
      <c r="L51" s="9"/>
      <c r="M51" s="9"/>
      <c r="N51" s="18"/>
      <c r="O51" s="18"/>
      <c r="P51" s="18"/>
      <c r="Q51" s="9"/>
      <c r="R51" s="9"/>
      <c r="S51" s="9"/>
      <c r="T51" s="9"/>
      <c r="U51" s="9"/>
      <c r="V51" s="9"/>
      <c r="W51" s="9"/>
      <c r="X51" s="9"/>
      <c r="Y51" s="9"/>
      <c r="Z51" s="9"/>
      <c r="AA51" s="9"/>
      <c r="AB51" s="9"/>
    </row>
    <row r="52" ht="15.75" customHeight="1">
      <c r="A52" s="50" t="s">
        <v>136</v>
      </c>
      <c r="B52" s="18"/>
      <c r="C52" s="18"/>
      <c r="D52" s="18"/>
      <c r="E52" s="18">
        <v>0.03599840361846482</v>
      </c>
      <c r="F52" s="18">
        <v>0.03119284098731439</v>
      </c>
      <c r="G52" s="18">
        <v>0.04327189792270233</v>
      </c>
      <c r="H52" s="18">
        <v>0.02266466715590866</v>
      </c>
      <c r="I52" s="18">
        <v>0.0374207650273224</v>
      </c>
      <c r="J52" s="18">
        <v>0.03438338008198995</v>
      </c>
      <c r="K52" s="9"/>
      <c r="L52" s="9"/>
      <c r="M52" s="9"/>
      <c r="N52" s="18"/>
      <c r="O52" s="18"/>
      <c r="P52" s="18"/>
      <c r="Q52" s="9"/>
      <c r="R52" s="9"/>
      <c r="S52" s="9"/>
      <c r="T52" s="9"/>
      <c r="U52" s="9"/>
      <c r="V52" s="9"/>
      <c r="W52" s="9"/>
      <c r="X52" s="9"/>
      <c r="Y52" s="9"/>
      <c r="Z52" s="9"/>
      <c r="AA52" s="9"/>
      <c r="AB52" s="9"/>
    </row>
    <row r="53" ht="15.75" customHeight="1">
      <c r="A53" s="50" t="s">
        <v>138</v>
      </c>
      <c r="B53" s="18"/>
      <c r="C53" s="18"/>
      <c r="D53" s="18"/>
      <c r="E53" s="18">
        <v>0.0147931355593987</v>
      </c>
      <c r="F53" s="18">
        <v>0.01703215655423345</v>
      </c>
      <c r="G53" s="18">
        <v>0.02196470032258728</v>
      </c>
      <c r="H53" s="18">
        <v>0.009433861927400743</v>
      </c>
      <c r="I53" s="18">
        <v>0.02155191256830601</v>
      </c>
      <c r="J53" s="18">
        <v>0.01357765927935148</v>
      </c>
      <c r="K53" s="9"/>
      <c r="L53" s="9"/>
      <c r="M53" s="9"/>
      <c r="N53" s="18"/>
      <c r="O53" s="18"/>
      <c r="P53" s="18"/>
      <c r="Q53" s="9"/>
      <c r="R53" s="9"/>
      <c r="S53" s="9"/>
      <c r="T53" s="9"/>
      <c r="U53" s="9"/>
      <c r="V53" s="9"/>
      <c r="W53" s="9"/>
      <c r="X53" s="9"/>
      <c r="Y53" s="9"/>
      <c r="Z53" s="9"/>
      <c r="AA53" s="9"/>
      <c r="AB53" s="9"/>
    </row>
    <row r="54" ht="15.75" customHeight="1">
      <c r="A54" s="50" t="s">
        <v>140</v>
      </c>
      <c r="B54" s="18"/>
      <c r="C54" s="18"/>
      <c r="D54" s="18"/>
      <c r="E54" s="18">
        <v>0.02759079419981376</v>
      </c>
      <c r="F54" s="18">
        <v>0.01673714229521094</v>
      </c>
      <c r="G54" s="18">
        <v>0.02042367831679303</v>
      </c>
      <c r="H54" s="18">
        <v>0.009795475575125235</v>
      </c>
      <c r="I54" s="18">
        <v>0.02249180327868852</v>
      </c>
      <c r="J54" s="18">
        <v>0.0158894060352002</v>
      </c>
      <c r="K54" s="9"/>
      <c r="L54" s="9"/>
      <c r="M54" s="9"/>
      <c r="N54" s="18"/>
      <c r="O54" s="18"/>
      <c r="P54" s="18"/>
      <c r="Q54" s="9"/>
      <c r="R54" s="9"/>
      <c r="S54" s="9"/>
      <c r="T54" s="9"/>
      <c r="U54" s="9"/>
      <c r="V54" s="9"/>
      <c r="W54" s="9"/>
      <c r="X54" s="9"/>
      <c r="Y54" s="9"/>
      <c r="Z54" s="9"/>
      <c r="AA54" s="9"/>
      <c r="AB54" s="9"/>
    </row>
    <row r="55" ht="15.75" customHeight="1">
      <c r="A55" s="50" t="s">
        <v>141</v>
      </c>
      <c r="B55" s="18"/>
      <c r="C55" s="18"/>
      <c r="D55" s="18"/>
      <c r="E55" s="18">
        <v>0.03825994412664627</v>
      </c>
      <c r="F55" s="18">
        <v>0.03302192939325401</v>
      </c>
      <c r="G55" s="18">
        <v>0.03951180422856439</v>
      </c>
      <c r="H55" s="18">
        <v>0.03523605926209545</v>
      </c>
      <c r="I55" s="18">
        <v>0.0373551912568306</v>
      </c>
      <c r="J55" s="18">
        <v>0.04173473476558888</v>
      </c>
      <c r="K55" s="9"/>
      <c r="L55" s="9"/>
      <c r="M55" s="9"/>
      <c r="N55" s="18"/>
      <c r="O55" s="18"/>
      <c r="P55" s="18"/>
      <c r="Q55" s="9"/>
      <c r="R55" s="9"/>
      <c r="S55" s="9"/>
      <c r="T55" s="9"/>
      <c r="U55" s="9"/>
      <c r="V55" s="9"/>
      <c r="W55" s="9"/>
      <c r="X55" s="9"/>
      <c r="Y55" s="9"/>
      <c r="Z55" s="9"/>
      <c r="AA55" s="9"/>
      <c r="AB55" s="9"/>
    </row>
    <row r="56" ht="15.75" customHeight="1">
      <c r="A56" s="50" t="s">
        <v>142</v>
      </c>
      <c r="B56" s="18"/>
      <c r="C56" s="18"/>
      <c r="D56" s="18"/>
      <c r="E56" s="18">
        <v>0.9624052148463482</v>
      </c>
      <c r="F56" s="18">
        <v>0.9421968728488544</v>
      </c>
      <c r="G56" s="18">
        <v>0.9554541905525079</v>
      </c>
      <c r="H56" s="18">
        <v>0.9237952415898237</v>
      </c>
      <c r="I56" s="18">
        <v>0.9682404371584699</v>
      </c>
      <c r="J56" s="18">
        <v>0.947831581543014</v>
      </c>
      <c r="K56" s="9"/>
      <c r="L56" s="9"/>
      <c r="M56" s="9"/>
      <c r="N56" s="18"/>
      <c r="O56" s="18"/>
      <c r="P56" s="18"/>
      <c r="Q56" s="9"/>
      <c r="R56" s="9"/>
      <c r="S56" s="9"/>
      <c r="T56" s="9"/>
      <c r="U56" s="9"/>
      <c r="V56" s="9"/>
      <c r="W56" s="9"/>
      <c r="X56" s="9"/>
      <c r="Y56" s="9"/>
      <c r="Z56" s="9"/>
      <c r="AA56" s="9"/>
      <c r="AB56" s="9"/>
    </row>
    <row r="57" ht="15.75" customHeight="1">
      <c r="A57" s="50" t="s">
        <v>143</v>
      </c>
      <c r="B57" s="18"/>
      <c r="C57" s="18"/>
      <c r="D57" s="18"/>
      <c r="E57" s="18">
        <v>0.04251696155381136</v>
      </c>
      <c r="F57" s="18">
        <v>0.06136296587668404</v>
      </c>
      <c r="G57" s="18">
        <v>0.04955926770634285</v>
      </c>
      <c r="H57" s="18">
        <v>0.07803409803984132</v>
      </c>
      <c r="I57" s="18">
        <v>0.03650273224043716</v>
      </c>
      <c r="J57" s="18">
        <v>0.05571309681595413</v>
      </c>
      <c r="K57" s="9"/>
      <c r="L57" s="9"/>
      <c r="M57" s="9"/>
      <c r="N57" s="18"/>
      <c r="O57" s="18"/>
      <c r="P57" s="18"/>
      <c r="Q57" s="9"/>
      <c r="R57" s="9"/>
      <c r="S57" s="9"/>
      <c r="T57" s="9"/>
      <c r="U57" s="9"/>
      <c r="V57" s="9"/>
      <c r="W57" s="9"/>
      <c r="X57" s="9"/>
      <c r="Y57" s="9"/>
      <c r="Z57" s="9"/>
      <c r="AA57" s="9"/>
      <c r="AB57" s="9"/>
    </row>
    <row r="58" ht="15.75" customHeight="1">
      <c r="A58" s="50" t="s">
        <v>147</v>
      </c>
      <c r="B58" s="18"/>
      <c r="C58" s="18"/>
      <c r="D58" s="18"/>
      <c r="E58" s="18">
        <v>0.01003059731275775</v>
      </c>
      <c r="F58" s="18">
        <v>0.01372799685318124</v>
      </c>
      <c r="G58" s="18">
        <v>0.01672522550288685</v>
      </c>
      <c r="H58" s="18">
        <v>0.01936760154430299</v>
      </c>
      <c r="I58" s="18">
        <v>0.008699453551912567</v>
      </c>
      <c r="J58" s="18">
        <v>0.01362389421446845</v>
      </c>
      <c r="K58" s="9"/>
      <c r="L58" s="9"/>
      <c r="M58" s="9"/>
      <c r="N58" s="18"/>
      <c r="O58" s="18"/>
      <c r="P58" s="18"/>
      <c r="Q58" s="9"/>
      <c r="R58" s="9"/>
      <c r="S58" s="9"/>
      <c r="T58" s="9"/>
      <c r="U58" s="9"/>
      <c r="V58" s="9"/>
      <c r="W58" s="9"/>
      <c r="X58" s="9"/>
      <c r="Y58" s="9"/>
      <c r="Z58" s="9"/>
      <c r="AA58" s="9"/>
      <c r="AB58" s="9"/>
    </row>
    <row r="59" ht="15.75" customHeight="1">
      <c r="A59" s="50" t="s">
        <v>149</v>
      </c>
      <c r="B59" s="18"/>
      <c r="C59" s="18"/>
      <c r="D59" s="18"/>
      <c r="E59" s="18">
        <v>0.03248636424105361</v>
      </c>
      <c r="F59" s="18">
        <v>0.0476349690235028</v>
      </c>
      <c r="G59" s="18">
        <v>0.032834042203456</v>
      </c>
      <c r="H59" s="18">
        <v>0.05866649649553833</v>
      </c>
      <c r="I59" s="18">
        <v>0.02780327868852459</v>
      </c>
      <c r="J59" s="18">
        <v>0.04208920260148569</v>
      </c>
      <c r="K59" s="9"/>
      <c r="L59" s="9"/>
      <c r="M59" s="9"/>
      <c r="N59" s="18"/>
      <c r="O59" s="18"/>
      <c r="P59" s="18"/>
      <c r="Q59" s="9"/>
      <c r="R59" s="9"/>
      <c r="S59" s="9"/>
      <c r="T59" s="9"/>
      <c r="U59" s="9"/>
      <c r="V59" s="9"/>
      <c r="W59" s="9"/>
      <c r="X59" s="9"/>
      <c r="Y59" s="9"/>
      <c r="Z59" s="9"/>
      <c r="AA59" s="9"/>
      <c r="AB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ht="15.75" customHeight="1">
      <c r="A63" s="50" t="s">
        <v>180</v>
      </c>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ht="15.75" customHeight="1">
      <c r="A64" s="51" t="s">
        <v>107</v>
      </c>
      <c r="B64" s="51" t="s">
        <v>108</v>
      </c>
      <c r="C64" s="51" t="s">
        <v>109</v>
      </c>
      <c r="D64" s="51" t="s">
        <v>110</v>
      </c>
      <c r="E64" s="51" t="s">
        <v>111</v>
      </c>
      <c r="F64" s="51" t="s">
        <v>112</v>
      </c>
      <c r="G64" s="51" t="s">
        <v>113</v>
      </c>
      <c r="H64" s="51" t="s">
        <v>114</v>
      </c>
      <c r="I64" s="51" t="s">
        <v>115</v>
      </c>
      <c r="J64" s="51" t="s">
        <v>116</v>
      </c>
      <c r="K64" s="9"/>
      <c r="L64" s="9"/>
      <c r="M64" s="9"/>
      <c r="N64" s="51" t="s">
        <v>117</v>
      </c>
      <c r="O64" s="51" t="s">
        <v>118</v>
      </c>
      <c r="P64" s="51" t="s">
        <v>119</v>
      </c>
      <c r="Q64" s="9"/>
      <c r="R64" s="9"/>
      <c r="S64" s="9"/>
      <c r="T64" s="9"/>
      <c r="U64" s="9"/>
      <c r="V64" s="9"/>
      <c r="W64" s="9"/>
      <c r="X64" s="9"/>
      <c r="Y64" s="9"/>
      <c r="Z64" s="9"/>
      <c r="AA64" s="9"/>
      <c r="AB64" s="9"/>
    </row>
    <row r="65" ht="15.75" customHeight="1">
      <c r="A65" s="50" t="s">
        <v>84</v>
      </c>
      <c r="B65" s="52">
        <v>78642.64460447992</v>
      </c>
      <c r="C65" s="52">
        <v>73698.62653526005</v>
      </c>
      <c r="D65" s="52">
        <v>88265.21489941205</v>
      </c>
      <c r="E65" s="52">
        <v>79473.70333939197</v>
      </c>
      <c r="F65" s="52">
        <v>63229.61013808795</v>
      </c>
      <c r="G65" s="52">
        <v>46804.68748438002</v>
      </c>
      <c r="H65" s="52">
        <v>56284.89380982791</v>
      </c>
      <c r="I65" s="52">
        <v>54034.11707460803</v>
      </c>
      <c r="J65" s="52">
        <v>39690.68369691205</v>
      </c>
      <c r="K65" s="9"/>
      <c r="L65" s="9"/>
      <c r="M65" s="9"/>
      <c r="N65" s="52"/>
      <c r="O65" s="52">
        <v>46804.68748438002</v>
      </c>
      <c r="P65" s="52"/>
      <c r="Q65" s="9"/>
      <c r="R65" s="9"/>
      <c r="S65" s="9"/>
      <c r="T65" s="9"/>
      <c r="U65" s="9"/>
      <c r="V65" s="9"/>
      <c r="W65" s="9"/>
      <c r="X65" s="9"/>
      <c r="Y65" s="9"/>
      <c r="Z65" s="9"/>
      <c r="AA65" s="9"/>
      <c r="AB65" s="9"/>
    </row>
    <row r="66" ht="15.75" customHeight="1">
      <c r="A66" s="50" t="s">
        <v>85</v>
      </c>
      <c r="B66" s="52">
        <v>17887.14</v>
      </c>
      <c r="C66" s="52">
        <v>15242.26</v>
      </c>
      <c r="D66" s="52">
        <v>19749.39</v>
      </c>
      <c r="E66" s="52">
        <v>13860.96</v>
      </c>
      <c r="F66" s="52">
        <v>18848.36</v>
      </c>
      <c r="G66" s="52">
        <v>17189.55</v>
      </c>
      <c r="H66" s="52">
        <v>17393.9</v>
      </c>
      <c r="I66" s="52">
        <v>15909.74</v>
      </c>
      <c r="J66" s="52">
        <v>19396.53</v>
      </c>
      <c r="K66" s="9"/>
      <c r="L66" s="9"/>
      <c r="M66" s="9"/>
      <c r="N66" s="52"/>
      <c r="O66" s="52">
        <v>69648.26</v>
      </c>
      <c r="P66" s="52"/>
      <c r="Q66" s="52">
        <f t="shared" ref="Q66:Q79" si="16">SUM(G66:J66)</f>
        <v>69889.72</v>
      </c>
      <c r="R66" s="9"/>
      <c r="S66" s="9"/>
      <c r="T66" s="9"/>
      <c r="U66" s="9"/>
      <c r="V66" s="9"/>
      <c r="W66" s="9"/>
      <c r="X66" s="9"/>
      <c r="Y66" s="9"/>
      <c r="Z66" s="9"/>
      <c r="AA66" s="9"/>
      <c r="AB66" s="9"/>
    </row>
    <row r="67" ht="15.75" customHeight="1">
      <c r="A67" s="50" t="s">
        <v>121</v>
      </c>
      <c r="B67" s="52">
        <v>21.12</v>
      </c>
      <c r="C67" s="52">
        <v>29.57</v>
      </c>
      <c r="D67" s="52">
        <v>21.71</v>
      </c>
      <c r="E67" s="52">
        <v>23.77</v>
      </c>
      <c r="F67" s="52">
        <v>24.52</v>
      </c>
      <c r="G67" s="52">
        <v>21.17</v>
      </c>
      <c r="H67" s="52">
        <v>12.61</v>
      </c>
      <c r="I67" s="52">
        <v>16.7</v>
      </c>
      <c r="J67" s="52">
        <v>37.98</v>
      </c>
      <c r="K67" s="9"/>
      <c r="L67" s="9"/>
      <c r="M67" s="9"/>
      <c r="N67" s="52"/>
      <c r="O67" s="52">
        <v>91.17</v>
      </c>
      <c r="P67" s="52"/>
      <c r="Q67" s="52">
        <f t="shared" si="16"/>
        <v>88.46</v>
      </c>
      <c r="R67" s="9"/>
      <c r="S67" s="9"/>
      <c r="T67" s="9"/>
      <c r="U67" s="9"/>
      <c r="V67" s="9"/>
      <c r="W67" s="9"/>
      <c r="X67" s="9"/>
      <c r="Y67" s="9"/>
      <c r="Z67" s="9"/>
      <c r="AA67" s="9"/>
      <c r="AB67" s="9"/>
    </row>
    <row r="68" ht="15.75" customHeight="1">
      <c r="A68" s="50" t="s">
        <v>127</v>
      </c>
      <c r="B68" s="52">
        <v>17908.26</v>
      </c>
      <c r="C68" s="52">
        <v>15271.83</v>
      </c>
      <c r="D68" s="52">
        <v>19771.1</v>
      </c>
      <c r="E68" s="52">
        <v>13884.73</v>
      </c>
      <c r="F68" s="52">
        <v>18872.88</v>
      </c>
      <c r="G68" s="52">
        <v>17210.72</v>
      </c>
      <c r="H68" s="52">
        <v>17406.51</v>
      </c>
      <c r="I68" s="52">
        <v>15926.44</v>
      </c>
      <c r="J68" s="52">
        <v>19434.51</v>
      </c>
      <c r="K68" s="9"/>
      <c r="L68" s="9"/>
      <c r="M68" s="9"/>
      <c r="N68" s="52"/>
      <c r="O68" s="52">
        <v>69739.43</v>
      </c>
      <c r="P68" s="52"/>
      <c r="Q68" s="52">
        <f t="shared" si="16"/>
        <v>69978.18</v>
      </c>
      <c r="R68" s="9"/>
      <c r="S68" s="9"/>
      <c r="T68" s="9"/>
      <c r="U68" s="9"/>
      <c r="V68" s="9"/>
      <c r="W68" s="9"/>
      <c r="X68" s="9"/>
      <c r="Y68" s="9"/>
      <c r="Z68" s="9"/>
      <c r="AA68" s="9"/>
      <c r="AB68" s="9"/>
    </row>
    <row r="69" ht="15.75" customHeight="1">
      <c r="A69" s="50" t="s">
        <v>131</v>
      </c>
      <c r="B69" s="52">
        <v>0.0</v>
      </c>
      <c r="C69" s="52">
        <v>0.0</v>
      </c>
      <c r="D69" s="52">
        <v>0.0</v>
      </c>
      <c r="E69" s="52">
        <v>0.0</v>
      </c>
      <c r="F69" s="52">
        <v>0.0</v>
      </c>
      <c r="G69" s="52">
        <v>0.0</v>
      </c>
      <c r="H69" s="52">
        <v>0.0</v>
      </c>
      <c r="I69" s="52">
        <v>0.0</v>
      </c>
      <c r="J69" s="52">
        <v>0.0</v>
      </c>
      <c r="K69" s="9"/>
      <c r="L69" s="9"/>
      <c r="M69" s="9"/>
      <c r="N69" s="52"/>
      <c r="O69" s="52">
        <v>0.0</v>
      </c>
      <c r="P69" s="52"/>
      <c r="Q69" s="52">
        <f t="shared" si="16"/>
        <v>0</v>
      </c>
      <c r="R69" s="9"/>
      <c r="S69" s="9"/>
      <c r="T69" s="9"/>
      <c r="U69" s="9"/>
      <c r="V69" s="9"/>
      <c r="W69" s="9"/>
      <c r="X69" s="9"/>
      <c r="Y69" s="9"/>
      <c r="Z69" s="9"/>
      <c r="AA69" s="9"/>
      <c r="AB69" s="9"/>
    </row>
    <row r="70" ht="15.75" customHeight="1">
      <c r="A70" s="50" t="s">
        <v>133</v>
      </c>
      <c r="B70" s="52">
        <v>15207.9</v>
      </c>
      <c r="C70" s="52">
        <v>15488.75</v>
      </c>
      <c r="D70" s="52">
        <v>14412.47</v>
      </c>
      <c r="E70" s="52">
        <v>14369.98</v>
      </c>
      <c r="F70" s="52">
        <v>14046.44</v>
      </c>
      <c r="G70" s="52">
        <v>19579.37</v>
      </c>
      <c r="H70" s="52">
        <v>12603.23</v>
      </c>
      <c r="I70" s="52">
        <v>15611.92</v>
      </c>
      <c r="J70" s="52">
        <v>14743.37</v>
      </c>
      <c r="K70" s="9"/>
      <c r="L70" s="9"/>
      <c r="M70" s="9"/>
      <c r="N70" s="52"/>
      <c r="O70" s="52">
        <v>62408.26</v>
      </c>
      <c r="P70" s="52"/>
      <c r="Q70" s="52">
        <f t="shared" si="16"/>
        <v>62537.89</v>
      </c>
      <c r="R70" s="9"/>
      <c r="S70" s="9"/>
      <c r="T70" s="9"/>
      <c r="U70" s="9"/>
      <c r="V70" s="9"/>
      <c r="W70" s="9"/>
      <c r="X70" s="9"/>
      <c r="Y70" s="9"/>
      <c r="Z70" s="9"/>
      <c r="AA70" s="9"/>
      <c r="AB70" s="9"/>
    </row>
    <row r="71" ht="15.75" customHeight="1">
      <c r="A71" s="50" t="s">
        <v>134</v>
      </c>
      <c r="B71" s="52">
        <v>147.67</v>
      </c>
      <c r="C71" s="52">
        <v>-2448.45</v>
      </c>
      <c r="D71" s="52">
        <v>2396.98</v>
      </c>
      <c r="E71" s="52">
        <v>-2470.63</v>
      </c>
      <c r="F71" s="52">
        <v>2252.5</v>
      </c>
      <c r="G71" s="52">
        <v>-4907.94</v>
      </c>
      <c r="H71" s="52">
        <v>2258.08</v>
      </c>
      <c r="I71" s="52">
        <v>-1940.49</v>
      </c>
      <c r="J71" s="52">
        <v>1876.13</v>
      </c>
      <c r="K71" s="9"/>
      <c r="L71" s="9"/>
      <c r="M71" s="9"/>
      <c r="N71" s="52"/>
      <c r="O71" s="52">
        <v>-2729.09</v>
      </c>
      <c r="P71" s="52"/>
      <c r="Q71" s="52">
        <f t="shared" si="16"/>
        <v>-2714.22</v>
      </c>
      <c r="R71" s="9"/>
      <c r="S71" s="9"/>
      <c r="T71" s="9"/>
      <c r="U71" s="9"/>
      <c r="V71" s="9"/>
      <c r="W71" s="9"/>
      <c r="X71" s="9"/>
      <c r="Y71" s="9"/>
      <c r="Z71" s="9"/>
      <c r="AA71" s="9"/>
      <c r="AB71" s="9"/>
    </row>
    <row r="72" ht="15.75" customHeight="1">
      <c r="A72" s="50" t="s">
        <v>136</v>
      </c>
      <c r="B72" s="52">
        <v>284.06</v>
      </c>
      <c r="C72" s="52">
        <v>294.43</v>
      </c>
      <c r="D72" s="52">
        <v>331.07</v>
      </c>
      <c r="E72" s="52">
        <v>282.79</v>
      </c>
      <c r="F72" s="52">
        <v>366.5</v>
      </c>
      <c r="G72" s="52">
        <v>350.57</v>
      </c>
      <c r="H72" s="52">
        <v>373.04</v>
      </c>
      <c r="I72" s="52">
        <v>392.0</v>
      </c>
      <c r="J72" s="52">
        <v>390.6</v>
      </c>
      <c r="K72" s="9"/>
      <c r="L72" s="9"/>
      <c r="M72" s="9"/>
      <c r="N72" s="52"/>
      <c r="O72" s="52">
        <v>1330.93</v>
      </c>
      <c r="P72" s="52"/>
      <c r="Q72" s="52">
        <f t="shared" si="16"/>
        <v>1506.21</v>
      </c>
      <c r="R72" s="9"/>
      <c r="S72" s="9"/>
      <c r="T72" s="9"/>
      <c r="U72" s="9"/>
      <c r="V72" s="9"/>
      <c r="W72" s="9"/>
      <c r="X72" s="9"/>
      <c r="Y72" s="9"/>
      <c r="Z72" s="9"/>
      <c r="AA72" s="9"/>
      <c r="AB72" s="9"/>
    </row>
    <row r="73" ht="15.75" customHeight="1">
      <c r="A73" s="50" t="s">
        <v>138</v>
      </c>
      <c r="B73" s="52">
        <v>290.85</v>
      </c>
      <c r="C73" s="52">
        <v>280.43</v>
      </c>
      <c r="D73" s="52">
        <v>285.55</v>
      </c>
      <c r="E73" s="52">
        <v>224.72</v>
      </c>
      <c r="F73" s="52">
        <v>299.94</v>
      </c>
      <c r="G73" s="52">
        <v>365.0</v>
      </c>
      <c r="H73" s="52">
        <v>374.13</v>
      </c>
      <c r="I73" s="52">
        <v>385.08</v>
      </c>
      <c r="J73" s="52">
        <v>387.02</v>
      </c>
      <c r="K73" s="9"/>
      <c r="L73" s="9"/>
      <c r="M73" s="9"/>
      <c r="N73" s="52"/>
      <c r="O73" s="52">
        <v>1175.21</v>
      </c>
      <c r="P73" s="52"/>
      <c r="Q73" s="52">
        <f t="shared" si="16"/>
        <v>1511.23</v>
      </c>
      <c r="R73" s="9"/>
      <c r="S73" s="9"/>
      <c r="T73" s="9"/>
      <c r="U73" s="9"/>
      <c r="V73" s="9"/>
      <c r="W73" s="9"/>
      <c r="X73" s="9"/>
      <c r="Y73" s="9"/>
      <c r="Z73" s="9"/>
      <c r="AA73" s="9"/>
      <c r="AB73" s="9"/>
    </row>
    <row r="74" ht="15.75" customHeight="1">
      <c r="A74" s="50" t="s">
        <v>140</v>
      </c>
      <c r="B74" s="52">
        <v>263.02</v>
      </c>
      <c r="C74" s="52">
        <v>292.88</v>
      </c>
      <c r="D74" s="52">
        <v>301.48</v>
      </c>
      <c r="E74" s="52">
        <v>313.25</v>
      </c>
      <c r="F74" s="52">
        <v>297.55</v>
      </c>
      <c r="G74" s="52">
        <v>354.63</v>
      </c>
      <c r="H74" s="52">
        <v>368.27</v>
      </c>
      <c r="I74" s="52">
        <v>383.71</v>
      </c>
      <c r="J74" s="52">
        <v>402.8</v>
      </c>
      <c r="K74" s="9"/>
      <c r="L74" s="9"/>
      <c r="M74" s="9"/>
      <c r="N74" s="52"/>
      <c r="O74" s="52">
        <v>1266.91</v>
      </c>
      <c r="P74" s="52"/>
      <c r="Q74" s="52">
        <f t="shared" si="16"/>
        <v>1509.41</v>
      </c>
      <c r="R74" s="9"/>
      <c r="S74" s="9"/>
      <c r="T74" s="9"/>
      <c r="U74" s="9"/>
      <c r="V74" s="9"/>
      <c r="W74" s="9"/>
      <c r="X74" s="9"/>
      <c r="Y74" s="9"/>
      <c r="Z74" s="9"/>
      <c r="AA74" s="9"/>
      <c r="AB74" s="9"/>
    </row>
    <row r="75" ht="15.75" customHeight="1">
      <c r="A75" s="50" t="s">
        <v>141</v>
      </c>
      <c r="B75" s="52">
        <v>1094.46</v>
      </c>
      <c r="C75" s="52">
        <v>831.11</v>
      </c>
      <c r="D75" s="52">
        <v>1070.97</v>
      </c>
      <c r="E75" s="52">
        <v>839.39</v>
      </c>
      <c r="F75" s="52">
        <v>1193.26</v>
      </c>
      <c r="G75" s="52">
        <v>1028.8</v>
      </c>
      <c r="H75" s="52">
        <v>1059.06</v>
      </c>
      <c r="I75" s="52">
        <v>1029.87</v>
      </c>
      <c r="J75" s="52">
        <v>1197.87</v>
      </c>
      <c r="K75" s="9"/>
      <c r="L75" s="9"/>
      <c r="M75" s="9"/>
      <c r="N75" s="52"/>
      <c r="O75" s="52">
        <v>4132.42</v>
      </c>
      <c r="P75" s="52"/>
      <c r="Q75" s="52">
        <f t="shared" si="16"/>
        <v>4315.6</v>
      </c>
      <c r="R75" s="9"/>
      <c r="S75" s="9"/>
      <c r="T75" s="9"/>
      <c r="U75" s="9"/>
      <c r="V75" s="9"/>
      <c r="W75" s="9"/>
      <c r="X75" s="9"/>
      <c r="Y75" s="9"/>
      <c r="Z75" s="9"/>
      <c r="AA75" s="9"/>
      <c r="AB75" s="9"/>
    </row>
    <row r="76" ht="15.75" customHeight="1">
      <c r="A76" s="50" t="s">
        <v>142</v>
      </c>
      <c r="B76" s="52">
        <v>17287.96</v>
      </c>
      <c r="C76" s="52">
        <v>14739.15</v>
      </c>
      <c r="D76" s="52">
        <v>18798.52</v>
      </c>
      <c r="E76" s="52">
        <v>13559.5</v>
      </c>
      <c r="F76" s="52">
        <v>18456.19</v>
      </c>
      <c r="G76" s="52">
        <v>16770.43</v>
      </c>
      <c r="H76" s="52">
        <v>17035.81</v>
      </c>
      <c r="I76" s="52">
        <v>15862.09</v>
      </c>
      <c r="J76" s="52">
        <v>18997.79</v>
      </c>
      <c r="K76" s="9"/>
      <c r="L76" s="9"/>
      <c r="M76" s="9"/>
      <c r="N76" s="52"/>
      <c r="O76" s="52">
        <v>67584.64</v>
      </c>
      <c r="P76" s="52"/>
      <c r="Q76" s="52">
        <f t="shared" si="16"/>
        <v>68666.12</v>
      </c>
      <c r="R76" s="9"/>
      <c r="S76" s="9"/>
      <c r="T76" s="9"/>
      <c r="U76" s="9"/>
      <c r="V76" s="9"/>
      <c r="W76" s="9"/>
      <c r="X76" s="9"/>
      <c r="Y76" s="9"/>
      <c r="Z76" s="9"/>
      <c r="AA76" s="9"/>
      <c r="AB76" s="9"/>
    </row>
    <row r="77" ht="15.75" customHeight="1">
      <c r="A77" s="50" t="s">
        <v>143</v>
      </c>
      <c r="B77" s="52">
        <v>620.3</v>
      </c>
      <c r="C77" s="52">
        <v>532.68</v>
      </c>
      <c r="D77" s="52">
        <v>972.58</v>
      </c>
      <c r="E77" s="52">
        <v>325.23</v>
      </c>
      <c r="F77" s="52">
        <v>416.69</v>
      </c>
      <c r="G77" s="52">
        <v>440.29</v>
      </c>
      <c r="H77" s="52">
        <v>288.98</v>
      </c>
      <c r="I77" s="52">
        <v>216.27</v>
      </c>
      <c r="J77" s="52">
        <v>394.09</v>
      </c>
      <c r="K77" s="9"/>
      <c r="L77" s="9"/>
      <c r="M77" s="9"/>
      <c r="N77" s="52"/>
      <c r="O77" s="52">
        <v>2154.79</v>
      </c>
      <c r="P77" s="52"/>
      <c r="Q77" s="52">
        <f t="shared" si="16"/>
        <v>1339.63</v>
      </c>
      <c r="R77" s="9"/>
      <c r="S77" s="9"/>
      <c r="T77" s="9"/>
      <c r="U77" s="9"/>
      <c r="V77" s="9"/>
      <c r="W77" s="9"/>
      <c r="X77" s="9"/>
      <c r="Y77" s="9"/>
      <c r="Z77" s="9"/>
      <c r="AA77" s="9"/>
      <c r="AB77" s="9"/>
    </row>
    <row r="78" ht="15.75" customHeight="1">
      <c r="A78" s="50" t="s">
        <v>147</v>
      </c>
      <c r="B78" s="52">
        <v>162.45</v>
      </c>
      <c r="C78" s="52">
        <v>127.1</v>
      </c>
      <c r="D78" s="52">
        <v>247.63</v>
      </c>
      <c r="E78" s="52">
        <v>79.74</v>
      </c>
      <c r="F78" s="52">
        <v>101.08</v>
      </c>
      <c r="G78" s="52">
        <v>125.65</v>
      </c>
      <c r="H78" s="52">
        <v>72.81</v>
      </c>
      <c r="I78" s="52">
        <v>54.85</v>
      </c>
      <c r="J78" s="52">
        <v>97.64</v>
      </c>
      <c r="K78" s="9"/>
      <c r="L78" s="9"/>
      <c r="M78" s="9"/>
      <c r="N78" s="52"/>
      <c r="O78" s="52">
        <v>554.1</v>
      </c>
      <c r="P78" s="52"/>
      <c r="Q78" s="52">
        <f t="shared" si="16"/>
        <v>350.95</v>
      </c>
      <c r="R78" s="9"/>
      <c r="S78" s="9"/>
      <c r="T78" s="9"/>
      <c r="U78" s="9"/>
      <c r="V78" s="9"/>
      <c r="W78" s="9"/>
      <c r="X78" s="9"/>
      <c r="Y78" s="9"/>
      <c r="Z78" s="9"/>
      <c r="AA78" s="9"/>
      <c r="AB78" s="9"/>
    </row>
    <row r="79" ht="15.75" customHeight="1">
      <c r="A79" s="50" t="s">
        <v>149</v>
      </c>
      <c r="B79" s="52">
        <v>457.85</v>
      </c>
      <c r="C79" s="52">
        <v>405.58</v>
      </c>
      <c r="D79" s="52">
        <v>724.95</v>
      </c>
      <c r="E79" s="52">
        <v>245.49</v>
      </c>
      <c r="F79" s="52">
        <v>315.61</v>
      </c>
      <c r="G79" s="52">
        <v>314.64</v>
      </c>
      <c r="H79" s="52">
        <v>216.17</v>
      </c>
      <c r="I79" s="52">
        <v>161.42</v>
      </c>
      <c r="J79" s="52">
        <v>296.45</v>
      </c>
      <c r="K79" s="9"/>
      <c r="L79" s="9"/>
      <c r="M79" s="9"/>
      <c r="N79" s="52"/>
      <c r="O79" s="52">
        <v>1600.69</v>
      </c>
      <c r="P79" s="52"/>
      <c r="Q79" s="52">
        <f t="shared" si="16"/>
        <v>988.68</v>
      </c>
      <c r="R79" s="9"/>
      <c r="S79" s="9"/>
      <c r="T79" s="9"/>
      <c r="U79" s="9"/>
      <c r="V79" s="9"/>
      <c r="W79" s="9"/>
      <c r="X79" s="9"/>
      <c r="Y79" s="9"/>
      <c r="Z79" s="9"/>
      <c r="AA79" s="9"/>
      <c r="AB79" s="9"/>
    </row>
    <row r="80" ht="15.75" customHeight="1">
      <c r="A80" s="50" t="s">
        <v>152</v>
      </c>
      <c r="B80" s="52"/>
      <c r="C80" s="52">
        <v>6022.35</v>
      </c>
      <c r="D80" s="52"/>
      <c r="E80" s="52">
        <v>6881.25</v>
      </c>
      <c r="F80" s="52"/>
      <c r="G80" s="52">
        <v>9050.85</v>
      </c>
      <c r="H80" s="52"/>
      <c r="I80" s="52">
        <v>9873.65</v>
      </c>
      <c r="J80" s="52"/>
      <c r="K80" s="9"/>
      <c r="L80" s="9"/>
      <c r="M80" s="9"/>
      <c r="N80" s="52"/>
      <c r="O80" s="52">
        <v>9050.85</v>
      </c>
      <c r="P80" s="52"/>
      <c r="Q80" s="9"/>
      <c r="R80" s="9"/>
      <c r="S80" s="9"/>
      <c r="T80" s="9"/>
      <c r="U80" s="9"/>
      <c r="V80" s="9"/>
      <c r="W80" s="9"/>
      <c r="X80" s="9"/>
      <c r="Y80" s="9"/>
      <c r="Z80" s="9"/>
      <c r="AA80" s="9"/>
      <c r="AB80" s="9"/>
    </row>
    <row r="81" ht="15.75" customHeight="1">
      <c r="A81" s="50" t="s">
        <v>154</v>
      </c>
      <c r="B81" s="52"/>
      <c r="C81" s="52">
        <v>449.38</v>
      </c>
      <c r="D81" s="52"/>
      <c r="E81" s="52">
        <v>579.8</v>
      </c>
      <c r="F81" s="52"/>
      <c r="G81" s="52">
        <v>303.59</v>
      </c>
      <c r="H81" s="52"/>
      <c r="I81" s="52">
        <v>150.84</v>
      </c>
      <c r="J81" s="52"/>
      <c r="K81" s="9"/>
      <c r="L81" s="9"/>
      <c r="M81" s="9"/>
      <c r="N81" s="52"/>
      <c r="O81" s="52">
        <v>303.59</v>
      </c>
      <c r="P81" s="52"/>
      <c r="Q81" s="9"/>
      <c r="R81" s="9"/>
      <c r="S81" s="9"/>
      <c r="T81" s="9"/>
      <c r="U81" s="9"/>
      <c r="V81" s="9"/>
      <c r="W81" s="9"/>
      <c r="X81" s="9"/>
      <c r="Y81" s="9"/>
      <c r="Z81" s="9"/>
      <c r="AA81" s="9"/>
      <c r="AB81" s="9"/>
    </row>
    <row r="82" ht="15.75" customHeight="1">
      <c r="A82" s="50" t="s">
        <v>155</v>
      </c>
      <c r="B82" s="52"/>
      <c r="C82" s="52">
        <v>0.0</v>
      </c>
      <c r="D82" s="52"/>
      <c r="E82" s="52"/>
      <c r="F82" s="52"/>
      <c r="G82" s="52">
        <v>0.0</v>
      </c>
      <c r="H82" s="52"/>
      <c r="I82" s="52">
        <v>0.0</v>
      </c>
      <c r="J82" s="52"/>
      <c r="K82" s="9"/>
      <c r="L82" s="9"/>
      <c r="M82" s="9"/>
      <c r="N82" s="52"/>
      <c r="O82" s="52">
        <v>0.0</v>
      </c>
      <c r="P82" s="52"/>
      <c r="Q82" s="9"/>
      <c r="R82" s="9"/>
      <c r="S82" s="9"/>
      <c r="T82" s="9"/>
      <c r="U82" s="9"/>
      <c r="V82" s="9"/>
      <c r="W82" s="9"/>
      <c r="X82" s="9"/>
      <c r="Y82" s="9"/>
      <c r="Z82" s="9"/>
      <c r="AA82" s="9"/>
      <c r="AB82" s="9"/>
    </row>
    <row r="83" ht="15.75" customHeight="1">
      <c r="A83" s="50" t="s">
        <v>156</v>
      </c>
      <c r="B83" s="52"/>
      <c r="C83" s="52">
        <v>9692.76</v>
      </c>
      <c r="D83" s="52"/>
      <c r="E83" s="52">
        <v>9766.41</v>
      </c>
      <c r="F83" s="52"/>
      <c r="G83" s="52">
        <v>12421.85</v>
      </c>
      <c r="H83" s="52"/>
      <c r="I83" s="52">
        <v>11984.25</v>
      </c>
      <c r="J83" s="52"/>
      <c r="K83" s="9"/>
      <c r="L83" s="9"/>
      <c r="M83" s="9"/>
      <c r="N83" s="52"/>
      <c r="O83" s="52">
        <v>12421.85</v>
      </c>
      <c r="P83" s="52"/>
      <c r="Q83" s="9"/>
      <c r="R83" s="9"/>
      <c r="S83" s="9"/>
      <c r="T83" s="9"/>
      <c r="U83" s="9"/>
      <c r="V83" s="9"/>
      <c r="W83" s="9"/>
      <c r="X83" s="9"/>
      <c r="Y83" s="9"/>
      <c r="Z83" s="9"/>
      <c r="AA83" s="9"/>
      <c r="AB83" s="9"/>
    </row>
    <row r="84" ht="15.75" customHeight="1">
      <c r="A84" s="50" t="s">
        <v>157</v>
      </c>
      <c r="B84" s="52"/>
      <c r="C84" s="52">
        <v>1814.19</v>
      </c>
      <c r="D84" s="52"/>
      <c r="E84" s="52">
        <v>1239.69</v>
      </c>
      <c r="F84" s="52"/>
      <c r="G84" s="52">
        <v>1773.84</v>
      </c>
      <c r="H84" s="52"/>
      <c r="I84" s="52">
        <v>737.13</v>
      </c>
      <c r="J84" s="52"/>
      <c r="K84" s="9"/>
      <c r="L84" s="9"/>
      <c r="M84" s="9"/>
      <c r="N84" s="52"/>
      <c r="O84" s="52">
        <v>1773.84</v>
      </c>
      <c r="P84" s="52"/>
      <c r="Q84" s="9"/>
      <c r="R84" s="9"/>
      <c r="S84" s="9"/>
      <c r="T84" s="9"/>
      <c r="U84" s="9"/>
      <c r="V84" s="9"/>
      <c r="W84" s="9"/>
      <c r="X84" s="9"/>
      <c r="Y84" s="9"/>
      <c r="Z84" s="9"/>
      <c r="AA84" s="9"/>
      <c r="AB84" s="9"/>
    </row>
    <row r="85" ht="15.75" customHeight="1">
      <c r="A85" s="50" t="s">
        <v>158</v>
      </c>
      <c r="B85" s="52"/>
      <c r="C85" s="52">
        <v>836.7</v>
      </c>
      <c r="D85" s="52"/>
      <c r="E85" s="52">
        <v>467.54</v>
      </c>
      <c r="F85" s="52"/>
      <c r="G85" s="52">
        <v>305.31</v>
      </c>
      <c r="H85" s="52"/>
      <c r="I85" s="52">
        <v>252.26</v>
      </c>
      <c r="J85" s="52"/>
      <c r="K85" s="9"/>
      <c r="L85" s="9"/>
      <c r="M85" s="9"/>
      <c r="N85" s="52"/>
      <c r="O85" s="52">
        <v>305.31</v>
      </c>
      <c r="P85" s="52"/>
      <c r="Q85" s="9"/>
      <c r="R85" s="9"/>
      <c r="S85" s="9"/>
      <c r="T85" s="9"/>
      <c r="U85" s="9"/>
      <c r="V85" s="9"/>
      <c r="W85" s="9"/>
      <c r="X85" s="9"/>
      <c r="Y85" s="9"/>
      <c r="Z85" s="9"/>
      <c r="AA85" s="9"/>
      <c r="AB85" s="9"/>
    </row>
    <row r="86" ht="15.75" customHeight="1">
      <c r="A86" s="50" t="s">
        <v>159</v>
      </c>
      <c r="B86" s="52"/>
      <c r="C86" s="52">
        <v>0.0</v>
      </c>
      <c r="D86" s="52"/>
      <c r="E86" s="52">
        <v>0.0</v>
      </c>
      <c r="F86" s="52"/>
      <c r="G86" s="52">
        <v>0.0</v>
      </c>
      <c r="H86" s="52"/>
      <c r="I86" s="52">
        <v>0.0</v>
      </c>
      <c r="J86" s="52"/>
      <c r="K86" s="9"/>
      <c r="L86" s="9"/>
      <c r="M86" s="9"/>
      <c r="N86" s="52"/>
      <c r="O86" s="52">
        <v>0.0</v>
      </c>
      <c r="P86" s="52"/>
      <c r="Q86" s="9"/>
      <c r="R86" s="9"/>
      <c r="S86" s="9"/>
      <c r="T86" s="9"/>
      <c r="U86" s="9"/>
      <c r="V86" s="9"/>
      <c r="W86" s="9"/>
      <c r="X86" s="9"/>
      <c r="Y86" s="9"/>
      <c r="Z86" s="9"/>
      <c r="AA86" s="9"/>
      <c r="AB86" s="9"/>
    </row>
    <row r="87" ht="15.75" customHeight="1">
      <c r="A87" s="50" t="s">
        <v>160</v>
      </c>
      <c r="B87" s="52"/>
      <c r="C87" s="52">
        <v>13697.49</v>
      </c>
      <c r="D87" s="52"/>
      <c r="E87" s="52">
        <v>14689.58</v>
      </c>
      <c r="F87" s="52"/>
      <c r="G87" s="52">
        <v>15309.05</v>
      </c>
      <c r="H87" s="52"/>
      <c r="I87" s="52">
        <v>15563.83</v>
      </c>
      <c r="J87" s="52"/>
      <c r="K87" s="9"/>
      <c r="L87" s="9"/>
      <c r="M87" s="9"/>
      <c r="N87" s="52"/>
      <c r="O87" s="52">
        <v>15309.05</v>
      </c>
      <c r="P87" s="52"/>
      <c r="Q87" s="9"/>
      <c r="R87" s="9"/>
      <c r="S87" s="9"/>
      <c r="T87" s="9"/>
      <c r="U87" s="9"/>
      <c r="V87" s="9"/>
      <c r="W87" s="9"/>
      <c r="X87" s="9"/>
      <c r="Y87" s="9"/>
      <c r="Z87" s="9"/>
      <c r="AA87" s="9"/>
      <c r="AB87" s="9"/>
    </row>
    <row r="88" ht="15.75" customHeight="1">
      <c r="A88" s="50" t="s">
        <v>161</v>
      </c>
      <c r="B88" s="52"/>
      <c r="C88" s="52">
        <v>430.07</v>
      </c>
      <c r="D88" s="52"/>
      <c r="E88" s="52">
        <v>553.27</v>
      </c>
      <c r="F88" s="52"/>
      <c r="G88" s="52">
        <v>1039.84</v>
      </c>
      <c r="H88" s="52"/>
      <c r="I88" s="52">
        <v>0.0</v>
      </c>
      <c r="J88" s="52"/>
      <c r="K88" s="9"/>
      <c r="L88" s="9"/>
      <c r="M88" s="9"/>
      <c r="N88" s="52"/>
      <c r="O88" s="52">
        <v>1039.84</v>
      </c>
      <c r="P88" s="52"/>
      <c r="Q88" s="9"/>
      <c r="R88" s="9"/>
      <c r="S88" s="9"/>
      <c r="T88" s="9"/>
      <c r="U88" s="9"/>
      <c r="V88" s="9"/>
      <c r="W88" s="9"/>
      <c r="X88" s="9"/>
      <c r="Y88" s="9"/>
      <c r="Z88" s="9"/>
      <c r="AA88" s="9"/>
      <c r="AB88" s="9"/>
    </row>
    <row r="89" ht="15.75" customHeight="1">
      <c r="A89" s="50" t="s">
        <v>162</v>
      </c>
      <c r="B89" s="52"/>
      <c r="C89" s="52">
        <v>9078.74</v>
      </c>
      <c r="D89" s="52"/>
      <c r="E89" s="52">
        <v>10116.69</v>
      </c>
      <c r="F89" s="52"/>
      <c r="G89" s="52">
        <v>11403.0</v>
      </c>
      <c r="H89" s="52"/>
      <c r="I89" s="52">
        <v>12252.38</v>
      </c>
      <c r="J89" s="52"/>
      <c r="K89" s="9"/>
      <c r="L89" s="9"/>
      <c r="M89" s="9"/>
      <c r="N89" s="52"/>
      <c r="O89" s="52">
        <v>11403.0</v>
      </c>
      <c r="P89" s="52"/>
      <c r="Q89" s="9"/>
      <c r="R89" s="9"/>
      <c r="S89" s="9"/>
      <c r="T89" s="9"/>
      <c r="U89" s="9"/>
      <c r="V89" s="9"/>
      <c r="W89" s="9"/>
      <c r="X89" s="9"/>
      <c r="Y89" s="9"/>
      <c r="Z89" s="9"/>
      <c r="AA89" s="9"/>
      <c r="AB89" s="9"/>
    </row>
    <row r="90" ht="15.75" customHeight="1">
      <c r="A90" s="50" t="s">
        <v>165</v>
      </c>
      <c r="B90" s="52"/>
      <c r="C90" s="52">
        <v>6148.26</v>
      </c>
      <c r="D90" s="52"/>
      <c r="E90" s="52">
        <v>4278.91</v>
      </c>
      <c r="F90" s="52"/>
      <c r="G90" s="52">
        <v>7784.45</v>
      </c>
      <c r="H90" s="52"/>
      <c r="I90" s="52">
        <v>6757.99</v>
      </c>
      <c r="J90" s="52"/>
      <c r="K90" s="9"/>
      <c r="L90" s="9"/>
      <c r="M90" s="9"/>
      <c r="N90" s="52"/>
      <c r="O90" s="52">
        <v>7784.45</v>
      </c>
      <c r="P90" s="52"/>
      <c r="Q90" s="9"/>
      <c r="R90" s="9"/>
      <c r="S90" s="9"/>
      <c r="T90" s="9"/>
      <c r="U90" s="9"/>
      <c r="V90" s="9"/>
      <c r="W90" s="9"/>
      <c r="X90" s="9"/>
      <c r="Y90" s="9"/>
      <c r="Z90" s="9"/>
      <c r="AA90" s="9"/>
      <c r="AB90" s="9"/>
    </row>
    <row r="91" ht="15.75" customHeight="1">
      <c r="A91" s="50" t="s">
        <v>166</v>
      </c>
      <c r="B91" s="52"/>
      <c r="C91" s="52">
        <v>979.8</v>
      </c>
      <c r="D91" s="52"/>
      <c r="E91" s="52">
        <v>1355.19</v>
      </c>
      <c r="F91" s="52"/>
      <c r="G91" s="52">
        <v>2055.4</v>
      </c>
      <c r="H91" s="52"/>
      <c r="I91" s="52">
        <v>2162.12</v>
      </c>
      <c r="J91" s="52"/>
      <c r="K91" s="9"/>
      <c r="L91" s="9"/>
      <c r="M91" s="9"/>
      <c r="N91" s="52"/>
      <c r="O91" s="52">
        <v>2055.4</v>
      </c>
      <c r="P91" s="52"/>
      <c r="Q91" s="9"/>
      <c r="R91" s="9"/>
      <c r="S91" s="9"/>
      <c r="T91" s="9"/>
      <c r="U91" s="9"/>
      <c r="V91" s="9"/>
      <c r="W91" s="9"/>
      <c r="X91" s="9"/>
      <c r="Y91" s="9"/>
      <c r="Z91" s="9"/>
      <c r="AA91" s="9"/>
      <c r="AB91" s="9"/>
    </row>
    <row r="92" ht="15.75" customHeight="1">
      <c r="A92" s="50" t="s">
        <v>67</v>
      </c>
      <c r="B92" s="52">
        <v>2531.57</v>
      </c>
      <c r="C92" s="52">
        <v>2201.96</v>
      </c>
      <c r="D92" s="52">
        <v>2939.94</v>
      </c>
      <c r="E92" s="52">
        <v>1961.61</v>
      </c>
      <c r="F92" s="52">
        <v>2549.42</v>
      </c>
      <c r="G92" s="52">
        <v>2518.12</v>
      </c>
      <c r="H92" s="52">
        <v>2532.59</v>
      </c>
      <c r="I92" s="52">
        <v>2238.31</v>
      </c>
      <c r="J92" s="52">
        <v>2777.03</v>
      </c>
      <c r="K92" s="9"/>
      <c r="L92" s="9"/>
      <c r="M92" s="9"/>
      <c r="N92" s="52"/>
      <c r="O92" s="52">
        <v>9969.09</v>
      </c>
      <c r="P92" s="52"/>
      <c r="Q92" s="9"/>
      <c r="R92" s="9"/>
      <c r="S92" s="9"/>
      <c r="T92" s="9"/>
      <c r="U92" s="9"/>
      <c r="V92" s="9"/>
      <c r="W92" s="9"/>
      <c r="X92" s="9"/>
      <c r="Y92" s="9"/>
      <c r="Z92" s="9"/>
      <c r="AA92" s="9"/>
      <c r="AB92" s="9"/>
    </row>
    <row r="93" ht="15.75" customHeight="1">
      <c r="A93" s="50" t="s">
        <v>169</v>
      </c>
      <c r="B93" s="18">
        <v>0.1415301719559415</v>
      </c>
      <c r="C93" s="18">
        <v>0.1444641411444235</v>
      </c>
      <c r="D93" s="18">
        <v>0.148862319291887</v>
      </c>
      <c r="E93" s="18">
        <v>0.1415205007445372</v>
      </c>
      <c r="F93" s="18">
        <v>0.1352595132945253</v>
      </c>
      <c r="G93" s="18">
        <v>0.1464913275798377</v>
      </c>
      <c r="H93" s="18">
        <v>0.1456021938725645</v>
      </c>
      <c r="I93" s="18">
        <v>0.1406880313568921</v>
      </c>
      <c r="J93" s="18">
        <v>0.1431714847965074</v>
      </c>
      <c r="K93" s="9"/>
      <c r="L93" s="9"/>
      <c r="M93" s="9"/>
      <c r="N93" s="18"/>
      <c r="O93" s="18">
        <v>0.1431348033676649</v>
      </c>
      <c r="P93" s="18"/>
      <c r="Q93" s="9"/>
      <c r="R93" s="9"/>
      <c r="S93" s="9"/>
      <c r="T93" s="9"/>
      <c r="U93" s="9"/>
      <c r="V93" s="9"/>
      <c r="W93" s="9"/>
      <c r="X93" s="9"/>
      <c r="Y93" s="9"/>
      <c r="Z93" s="9"/>
      <c r="AA93" s="9"/>
      <c r="AB93" s="9"/>
    </row>
    <row r="94" ht="15.75" customHeight="1">
      <c r="A94" s="50" t="s">
        <v>88</v>
      </c>
      <c r="B94" s="52">
        <v>1174.17</v>
      </c>
      <c r="C94" s="52">
        <v>1105.99</v>
      </c>
      <c r="D94" s="52">
        <v>1559.61</v>
      </c>
      <c r="E94" s="52">
        <v>863.2</v>
      </c>
      <c r="F94" s="52">
        <v>1014.18</v>
      </c>
      <c r="G94" s="52">
        <v>1159.92</v>
      </c>
      <c r="H94" s="52">
        <v>1113.1</v>
      </c>
      <c r="I94" s="52">
        <v>833.14</v>
      </c>
      <c r="J94" s="52">
        <v>1226.54</v>
      </c>
      <c r="K94" s="9"/>
      <c r="L94" s="9"/>
      <c r="M94" s="9"/>
      <c r="N94" s="52"/>
      <c r="O94" s="52">
        <v>4596.91</v>
      </c>
      <c r="P94" s="52"/>
      <c r="Q94" s="9"/>
      <c r="R94" s="9"/>
      <c r="S94" s="9"/>
      <c r="T94" s="9"/>
      <c r="U94" s="9"/>
      <c r="V94" s="9"/>
      <c r="W94" s="9"/>
      <c r="X94" s="9"/>
      <c r="Y94" s="9"/>
      <c r="Z94" s="9"/>
      <c r="AA94" s="9"/>
      <c r="AB94" s="9"/>
    </row>
    <row r="95" ht="15.75" customHeight="1">
      <c r="A95" s="50" t="s">
        <v>89</v>
      </c>
      <c r="B95" s="18">
        <v>0.06564324984318343</v>
      </c>
      <c r="C95" s="18">
        <v>0.0725607619867395</v>
      </c>
      <c r="D95" s="18">
        <v>0.07897003401117705</v>
      </c>
      <c r="E95" s="18">
        <v>0.06227562881647447</v>
      </c>
      <c r="F95" s="18">
        <v>0.05380733390066828</v>
      </c>
      <c r="G95" s="18">
        <v>0.06747820623576534</v>
      </c>
      <c r="H95" s="18">
        <v>0.06399369894043314</v>
      </c>
      <c r="I95" s="18">
        <v>0.05236666344013164</v>
      </c>
      <c r="J95" s="18">
        <v>0.06323502193433568</v>
      </c>
      <c r="K95" s="9"/>
      <c r="L95" s="9"/>
      <c r="M95" s="9"/>
      <c r="N95" s="18"/>
      <c r="O95" s="18">
        <v>0.06600179243530277</v>
      </c>
      <c r="P95" s="18"/>
      <c r="Q95" s="9"/>
      <c r="R95" s="9"/>
      <c r="S95" s="9"/>
      <c r="T95" s="9"/>
      <c r="U95" s="9"/>
      <c r="V95" s="9"/>
      <c r="W95" s="9"/>
      <c r="X95" s="9"/>
      <c r="Y95" s="9"/>
      <c r="Z95" s="9"/>
      <c r="AA95" s="9"/>
      <c r="AB95" s="9"/>
    </row>
    <row r="96" ht="15.75" customHeight="1">
      <c r="A96" s="50" t="s">
        <v>171</v>
      </c>
      <c r="B96" s="101"/>
      <c r="C96" s="101">
        <v>0.5203916922005418</v>
      </c>
      <c r="D96" s="101"/>
      <c r="E96" s="101">
        <v>0.3835439815161495</v>
      </c>
      <c r="F96" s="101"/>
      <c r="G96" s="101">
        <v>0.6427472638733298</v>
      </c>
      <c r="H96" s="101"/>
      <c r="I96" s="101">
        <v>0.573130778221042</v>
      </c>
      <c r="J96" s="101"/>
      <c r="K96" s="9"/>
      <c r="L96" s="9"/>
      <c r="M96" s="9"/>
      <c r="N96" s="101"/>
      <c r="O96" s="101">
        <v>0.6427472638733298</v>
      </c>
      <c r="P96" s="101"/>
      <c r="Q96" s="9"/>
      <c r="R96" s="9"/>
      <c r="S96" s="9"/>
      <c r="T96" s="9"/>
      <c r="U96" s="9"/>
      <c r="V96" s="9"/>
      <c r="W96" s="9"/>
      <c r="X96" s="9"/>
      <c r="Y96" s="9"/>
      <c r="Z96" s="9"/>
      <c r="AA96" s="9"/>
      <c r="AB96" s="9"/>
    </row>
    <row r="97" ht="15.75" customHeight="1">
      <c r="A97" s="50" t="s">
        <v>172</v>
      </c>
      <c r="B97" s="18"/>
      <c r="C97" s="18"/>
      <c r="D97" s="18"/>
      <c r="E97" s="18"/>
      <c r="F97" s="18">
        <v>0.05373804867631159</v>
      </c>
      <c r="G97" s="18">
        <v>0.1277559889412725</v>
      </c>
      <c r="H97" s="18">
        <v>-0.119269000207095</v>
      </c>
      <c r="I97" s="18">
        <v>0.1478093869400099</v>
      </c>
      <c r="J97" s="18">
        <v>0.02908316691744003</v>
      </c>
      <c r="K97" s="9"/>
      <c r="L97" s="9"/>
      <c r="M97" s="9"/>
      <c r="N97" s="18"/>
      <c r="O97" s="18"/>
      <c r="P97" s="18"/>
      <c r="Q97" s="9"/>
      <c r="R97" s="9"/>
      <c r="S97" s="9"/>
      <c r="T97" s="9"/>
      <c r="U97" s="9"/>
      <c r="V97" s="9"/>
      <c r="W97" s="9"/>
      <c r="X97" s="9"/>
      <c r="Y97" s="9"/>
      <c r="Z97" s="9"/>
      <c r="AA97" s="9"/>
      <c r="AB97" s="9"/>
    </row>
    <row r="98" ht="15.75" customHeight="1">
      <c r="A98" s="50" t="s">
        <v>173</v>
      </c>
      <c r="B98" s="18"/>
      <c r="C98" s="18"/>
      <c r="D98" s="18"/>
      <c r="E98" s="18"/>
      <c r="F98" s="18">
        <v>0.007050960471170064</v>
      </c>
      <c r="G98" s="18">
        <v>0.1435811731366601</v>
      </c>
      <c r="H98" s="18">
        <v>-0.1385572494676762</v>
      </c>
      <c r="I98" s="18">
        <v>0.1410576006443686</v>
      </c>
      <c r="J98" s="18">
        <v>0.0892791301550941</v>
      </c>
      <c r="K98" s="9"/>
      <c r="L98" s="9"/>
      <c r="M98" s="9"/>
      <c r="N98" s="18"/>
      <c r="O98" s="18"/>
      <c r="P98" s="18"/>
      <c r="Q98" s="9"/>
      <c r="R98" s="9"/>
      <c r="S98" s="9"/>
      <c r="T98" s="9"/>
      <c r="U98" s="9"/>
      <c r="V98" s="9"/>
      <c r="W98" s="9"/>
      <c r="X98" s="9"/>
      <c r="Y98" s="9"/>
      <c r="Z98" s="9"/>
      <c r="AA98" s="9"/>
      <c r="AB98" s="9"/>
    </row>
    <row r="99" ht="15.75" customHeight="1">
      <c r="A99" s="50" t="s">
        <v>174</v>
      </c>
      <c r="B99" s="18"/>
      <c r="C99" s="18"/>
      <c r="D99" s="18"/>
      <c r="E99" s="18"/>
      <c r="F99" s="18">
        <v>-0.136257952425969</v>
      </c>
      <c r="G99" s="18">
        <v>0.0487617428729012</v>
      </c>
      <c r="H99" s="18">
        <v>-0.2862959329575984</v>
      </c>
      <c r="I99" s="18">
        <v>-0.03482391102873031</v>
      </c>
      <c r="J99" s="18">
        <v>0.2093908379183183</v>
      </c>
      <c r="K99" s="9"/>
      <c r="L99" s="9"/>
      <c r="M99" s="9"/>
      <c r="N99" s="18"/>
      <c r="O99" s="18"/>
      <c r="P99" s="18"/>
      <c r="Q99" s="9"/>
      <c r="R99" s="9"/>
      <c r="S99" s="9"/>
      <c r="T99" s="9"/>
      <c r="U99" s="9"/>
      <c r="V99" s="9"/>
      <c r="W99" s="9"/>
      <c r="X99" s="9"/>
      <c r="Y99" s="9"/>
      <c r="Z99" s="9"/>
      <c r="AA99" s="9"/>
      <c r="AB99" s="9"/>
    </row>
    <row r="100" ht="15.75" customHeight="1">
      <c r="A100" s="50" t="s">
        <v>175</v>
      </c>
      <c r="B100" s="101"/>
      <c r="C100" s="101"/>
      <c r="D100" s="101"/>
      <c r="E100" s="101">
        <v>1.190800135442401</v>
      </c>
      <c r="F100" s="101">
        <v>0.9339542718234015</v>
      </c>
      <c r="G100" s="101">
        <v>0.6720151728755323</v>
      </c>
      <c r="H100" s="101">
        <v>0.8364181443240918</v>
      </c>
      <c r="I100" s="101">
        <v>0.7792458789082164</v>
      </c>
      <c r="J100" s="101">
        <v>0.5679044600108865</v>
      </c>
      <c r="K100" s="9"/>
      <c r="L100" s="9"/>
      <c r="M100" s="9"/>
      <c r="N100" s="101"/>
      <c r="O100" s="101">
        <v>0.6720151728755323</v>
      </c>
      <c r="P100" s="101"/>
      <c r="Q100" s="9"/>
      <c r="R100" s="9"/>
      <c r="S100" s="9"/>
      <c r="T100" s="9"/>
      <c r="U100" s="9"/>
      <c r="V100" s="9"/>
      <c r="W100" s="9"/>
      <c r="X100" s="9"/>
      <c r="Y100" s="9"/>
      <c r="Z100" s="9"/>
      <c r="AA100" s="9"/>
      <c r="AB100" s="9"/>
    </row>
    <row r="101" ht="15.75" customHeight="1">
      <c r="A101" s="50" t="s">
        <v>176</v>
      </c>
      <c r="B101" s="101"/>
      <c r="C101" s="101"/>
      <c r="D101" s="101"/>
      <c r="E101" s="101">
        <v>8.248369846373041</v>
      </c>
      <c r="F101" s="101">
        <v>6.550302357738837</v>
      </c>
      <c r="G101" s="101">
        <v>4.694980934506562</v>
      </c>
      <c r="H101" s="101">
        <v>5.886469806732657</v>
      </c>
      <c r="I101" s="101">
        <v>5.492142765988107</v>
      </c>
      <c r="J101" s="101">
        <v>3.943024691603166</v>
      </c>
      <c r="K101" s="9"/>
      <c r="L101" s="9"/>
      <c r="M101" s="9"/>
      <c r="N101" s="101"/>
      <c r="O101" s="101">
        <v>4.694980934506562</v>
      </c>
      <c r="P101" s="101"/>
      <c r="Q101" s="9"/>
      <c r="R101" s="9"/>
      <c r="S101" s="9"/>
      <c r="T101" s="9"/>
      <c r="U101" s="9"/>
      <c r="V101" s="9"/>
      <c r="W101" s="9"/>
      <c r="X101" s="9"/>
      <c r="Y101" s="9"/>
      <c r="Z101" s="9"/>
      <c r="AA101" s="9"/>
      <c r="AB101" s="9"/>
    </row>
    <row r="102" ht="15.75" customHeight="1">
      <c r="A102" s="50" t="s">
        <v>177</v>
      </c>
      <c r="B102" s="101"/>
      <c r="C102" s="101"/>
      <c r="D102" s="101"/>
      <c r="E102" s="101">
        <v>16.89862009313093</v>
      </c>
      <c r="F102" s="101">
        <v>13.91809123925</v>
      </c>
      <c r="G102" s="101">
        <v>10.18177155619319</v>
      </c>
      <c r="H102" s="101">
        <v>13.56131789943811</v>
      </c>
      <c r="I102" s="101">
        <v>13.11399473698967</v>
      </c>
      <c r="J102" s="101">
        <v>9.160727420987387</v>
      </c>
      <c r="K102" s="9"/>
      <c r="L102" s="9"/>
      <c r="M102" s="9"/>
      <c r="N102" s="101"/>
      <c r="O102" s="101">
        <v>10.18177155619319</v>
      </c>
      <c r="P102" s="101"/>
      <c r="Q102" s="9"/>
      <c r="R102" s="9"/>
      <c r="S102" s="9"/>
      <c r="T102" s="9"/>
      <c r="U102" s="9"/>
      <c r="V102" s="9"/>
      <c r="W102" s="9"/>
      <c r="X102" s="9"/>
      <c r="Y102" s="9"/>
      <c r="Z102" s="9"/>
      <c r="AA102" s="9"/>
      <c r="AB102" s="9"/>
    </row>
    <row r="103" ht="15.75" customHeight="1">
      <c r="A103" s="50" t="s">
        <v>178</v>
      </c>
      <c r="B103" s="101"/>
      <c r="C103" s="101"/>
      <c r="D103" s="101"/>
      <c r="E103" s="101">
        <v>43.33660692382337</v>
      </c>
      <c r="F103" s="101">
        <v>37.37791960303846</v>
      </c>
      <c r="G103" s="101">
        <v>29.24031978982815</v>
      </c>
      <c r="H103" s="101">
        <v>51.54719144419221</v>
      </c>
      <c r="I103" s="101">
        <v>53.61378500020641</v>
      </c>
      <c r="J103" s="101">
        <v>40.14512652922285</v>
      </c>
      <c r="K103" s="9"/>
      <c r="L103" s="9"/>
      <c r="M103" s="9"/>
      <c r="N103" s="101"/>
      <c r="O103" s="101">
        <v>29.24031978982815</v>
      </c>
      <c r="P103" s="101"/>
      <c r="Q103" s="9"/>
      <c r="R103" s="9"/>
      <c r="S103" s="9"/>
      <c r="T103" s="9"/>
      <c r="U103" s="9"/>
      <c r="V103" s="9"/>
      <c r="W103" s="9"/>
      <c r="X103" s="9"/>
      <c r="Y103" s="9"/>
      <c r="Z103" s="9"/>
      <c r="AA103" s="9"/>
      <c r="AB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5.75" customHeight="1">
      <c r="A105" s="51" t="s">
        <v>179</v>
      </c>
      <c r="B105" s="51" t="s">
        <v>108</v>
      </c>
      <c r="C105" s="51" t="s">
        <v>109</v>
      </c>
      <c r="D105" s="51" t="s">
        <v>110</v>
      </c>
      <c r="E105" s="51" t="s">
        <v>111</v>
      </c>
      <c r="F105" s="51" t="s">
        <v>112</v>
      </c>
      <c r="G105" s="51" t="s">
        <v>113</v>
      </c>
      <c r="H105" s="51" t="s">
        <v>114</v>
      </c>
      <c r="I105" s="51" t="s">
        <v>115</v>
      </c>
      <c r="J105" s="51" t="s">
        <v>116</v>
      </c>
      <c r="K105" s="9"/>
      <c r="L105" s="9"/>
      <c r="M105" s="9"/>
      <c r="N105" s="51" t="s">
        <v>117</v>
      </c>
      <c r="O105" s="51" t="s">
        <v>118</v>
      </c>
      <c r="P105" s="51" t="s">
        <v>119</v>
      </c>
      <c r="Q105" s="9"/>
      <c r="R105" s="9"/>
      <c r="S105" s="9"/>
      <c r="T105" s="9"/>
      <c r="U105" s="9"/>
      <c r="V105" s="9"/>
      <c r="W105" s="9"/>
      <c r="X105" s="9"/>
      <c r="Y105" s="9"/>
      <c r="Z105" s="9"/>
      <c r="AA105" s="9"/>
      <c r="AB105" s="9"/>
    </row>
    <row r="106" ht="15.75" customHeight="1">
      <c r="A106" s="50" t="s">
        <v>85</v>
      </c>
      <c r="B106" s="18">
        <v>1.0</v>
      </c>
      <c r="C106" s="18">
        <v>1.0</v>
      </c>
      <c r="D106" s="18">
        <v>1.0</v>
      </c>
      <c r="E106" s="18">
        <v>1.0</v>
      </c>
      <c r="F106" s="18">
        <v>1.0</v>
      </c>
      <c r="G106" s="18">
        <v>1.0</v>
      </c>
      <c r="H106" s="18">
        <v>1.0</v>
      </c>
      <c r="I106" s="18">
        <v>1.0</v>
      </c>
      <c r="J106" s="18">
        <v>1.0</v>
      </c>
      <c r="K106" s="9"/>
      <c r="L106" s="9"/>
      <c r="M106" s="9"/>
      <c r="N106" s="18"/>
      <c r="O106" s="18">
        <v>1.0</v>
      </c>
      <c r="P106" s="18"/>
      <c r="Q106" s="9"/>
      <c r="R106" s="9"/>
      <c r="S106" s="9"/>
      <c r="T106" s="9"/>
      <c r="U106" s="9"/>
      <c r="V106" s="9"/>
      <c r="W106" s="9"/>
      <c r="X106" s="9"/>
      <c r="Y106" s="9"/>
      <c r="Z106" s="9"/>
      <c r="AA106" s="9"/>
      <c r="AB106" s="9"/>
    </row>
    <row r="107" ht="15.75" customHeight="1">
      <c r="A107" s="50" t="s">
        <v>121</v>
      </c>
      <c r="B107" s="18">
        <v>0.001180736551511309</v>
      </c>
      <c r="C107" s="18">
        <v>0.001940001023470273</v>
      </c>
      <c r="D107" s="18">
        <v>0.001099274458603532</v>
      </c>
      <c r="E107" s="18">
        <v>0.001714888434855883</v>
      </c>
      <c r="F107" s="18">
        <v>0.001300908938496506</v>
      </c>
      <c r="G107" s="18">
        <v>0.001231562199126795</v>
      </c>
      <c r="H107" s="18">
        <v>7.249667987052932E-4</v>
      </c>
      <c r="I107" s="18">
        <v>0.001049671459118754</v>
      </c>
      <c r="J107" s="18">
        <v>0.001958082193052056</v>
      </c>
      <c r="K107" s="9"/>
      <c r="L107" s="9"/>
      <c r="M107" s="9"/>
      <c r="N107" s="18"/>
      <c r="O107" s="18">
        <v>0.001309006140282614</v>
      </c>
      <c r="P107" s="18"/>
      <c r="Q107" s="9"/>
      <c r="R107" s="9"/>
      <c r="S107" s="9"/>
      <c r="T107" s="9"/>
      <c r="U107" s="9"/>
      <c r="V107" s="9"/>
      <c r="W107" s="9"/>
      <c r="X107" s="9"/>
      <c r="Y107" s="9"/>
      <c r="Z107" s="9"/>
      <c r="AA107" s="9"/>
      <c r="AB107" s="9"/>
    </row>
    <row r="108" ht="15.75" customHeight="1">
      <c r="A108" s="50" t="s">
        <v>127</v>
      </c>
      <c r="B108" s="18">
        <v>1.001180736551511</v>
      </c>
      <c r="C108" s="18">
        <v>1.00194000102347</v>
      </c>
      <c r="D108" s="18">
        <v>1.001099274458604</v>
      </c>
      <c r="E108" s="18">
        <v>1.001714888434856</v>
      </c>
      <c r="F108" s="18">
        <v>1.001300908938497</v>
      </c>
      <c r="G108" s="18">
        <v>1.001231562199127</v>
      </c>
      <c r="H108" s="18">
        <v>1.000724966798705</v>
      </c>
      <c r="I108" s="18">
        <v>1.001049671459119</v>
      </c>
      <c r="J108" s="18">
        <v>1.001958082193052</v>
      </c>
      <c r="K108" s="9"/>
      <c r="L108" s="9"/>
      <c r="M108" s="9"/>
      <c r="N108" s="18"/>
      <c r="O108" s="18">
        <v>1.001309006140283</v>
      </c>
      <c r="P108" s="18"/>
      <c r="Q108" s="9"/>
      <c r="R108" s="9"/>
      <c r="S108" s="9"/>
      <c r="T108" s="9"/>
      <c r="U108" s="9"/>
      <c r="V108" s="9"/>
      <c r="W108" s="9"/>
      <c r="X108" s="9"/>
      <c r="Y108" s="9"/>
      <c r="Z108" s="9"/>
      <c r="AA108" s="9"/>
      <c r="AB108" s="9"/>
    </row>
    <row r="109" ht="15.75" customHeight="1">
      <c r="A109" s="50" t="s">
        <v>131</v>
      </c>
      <c r="B109" s="18">
        <v>0.0</v>
      </c>
      <c r="C109" s="18">
        <v>0.0</v>
      </c>
      <c r="D109" s="18">
        <v>0.0</v>
      </c>
      <c r="E109" s="18">
        <v>0.0</v>
      </c>
      <c r="F109" s="18">
        <v>0.0</v>
      </c>
      <c r="G109" s="18">
        <v>0.0</v>
      </c>
      <c r="H109" s="18">
        <v>0.0</v>
      </c>
      <c r="I109" s="18">
        <v>0.0</v>
      </c>
      <c r="J109" s="18">
        <v>0.0</v>
      </c>
      <c r="K109" s="9"/>
      <c r="L109" s="9"/>
      <c r="M109" s="9"/>
      <c r="N109" s="18"/>
      <c r="O109" s="18">
        <v>0.0</v>
      </c>
      <c r="P109" s="18"/>
      <c r="Q109" s="9"/>
      <c r="R109" s="9"/>
      <c r="S109" s="9"/>
      <c r="T109" s="9"/>
      <c r="U109" s="9"/>
      <c r="V109" s="9"/>
      <c r="W109" s="9"/>
      <c r="X109" s="9"/>
      <c r="Y109" s="9"/>
      <c r="Z109" s="9"/>
      <c r="AA109" s="9"/>
      <c r="AB109" s="9"/>
    </row>
    <row r="110" ht="15.75" customHeight="1">
      <c r="A110" s="50" t="s">
        <v>133</v>
      </c>
      <c r="B110" s="18">
        <v>0.8502141762182216</v>
      </c>
      <c r="C110" s="18">
        <v>1.016171486380629</v>
      </c>
      <c r="D110" s="18">
        <v>0.7297678561211257</v>
      </c>
      <c r="E110" s="18">
        <v>1.036723286121596</v>
      </c>
      <c r="F110" s="18">
        <v>0.7452340681099046</v>
      </c>
      <c r="G110" s="18">
        <v>1.13902749053931</v>
      </c>
      <c r="H110" s="18">
        <v>0.7245775817959169</v>
      </c>
      <c r="I110" s="18">
        <v>0.9812806494637876</v>
      </c>
      <c r="J110" s="18">
        <v>0.7601034824270115</v>
      </c>
      <c r="K110" s="9"/>
      <c r="L110" s="9"/>
      <c r="M110" s="9"/>
      <c r="N110" s="18"/>
      <c r="O110" s="18">
        <v>0.8960490900993076</v>
      </c>
      <c r="P110" s="18"/>
      <c r="Q110" s="9"/>
      <c r="R110" s="9"/>
      <c r="S110" s="9"/>
      <c r="T110" s="9"/>
      <c r="U110" s="9"/>
      <c r="V110" s="9"/>
      <c r="W110" s="9"/>
      <c r="X110" s="9"/>
      <c r="Y110" s="9"/>
      <c r="Z110" s="9"/>
      <c r="AA110" s="9"/>
      <c r="AB110" s="9"/>
    </row>
    <row r="111" ht="15.75" customHeight="1">
      <c r="A111" s="50" t="s">
        <v>134</v>
      </c>
      <c r="B111" s="18">
        <v>0.008255651825836886</v>
      </c>
      <c r="C111" s="18">
        <v>-0.160635627525052</v>
      </c>
      <c r="D111" s="18">
        <v>0.1213698245869873</v>
      </c>
      <c r="E111" s="18">
        <v>-0.1782437868661334</v>
      </c>
      <c r="F111" s="18">
        <v>0.1195064185955701</v>
      </c>
      <c r="G111" s="18">
        <v>-0.285518818119148</v>
      </c>
      <c r="H111" s="18">
        <v>0.1298202243315185</v>
      </c>
      <c r="I111" s="18">
        <v>-0.1219686808206797</v>
      </c>
      <c r="J111" s="18">
        <v>0.09672503277648116</v>
      </c>
      <c r="K111" s="9"/>
      <c r="L111" s="9"/>
      <c r="M111" s="9"/>
      <c r="N111" s="18"/>
      <c r="O111" s="18">
        <v>-0.03918389346697247</v>
      </c>
      <c r="P111" s="18"/>
      <c r="Q111" s="9"/>
      <c r="R111" s="9"/>
      <c r="S111" s="9"/>
      <c r="T111" s="9"/>
      <c r="U111" s="9"/>
      <c r="V111" s="9"/>
      <c r="W111" s="9"/>
      <c r="X111" s="9"/>
      <c r="Y111" s="9"/>
      <c r="Z111" s="9"/>
      <c r="AA111" s="9"/>
      <c r="AB111" s="9"/>
    </row>
    <row r="112" ht="15.75" customHeight="1">
      <c r="A112" s="50" t="s">
        <v>136</v>
      </c>
      <c r="B112" s="18">
        <v>0.01588068299348023</v>
      </c>
      <c r="C112" s="18">
        <v>0.01931668925736735</v>
      </c>
      <c r="D112" s="18">
        <v>0.01676355573513916</v>
      </c>
      <c r="E112" s="18">
        <v>0.02040190578430354</v>
      </c>
      <c r="F112" s="18">
        <v>0.0194446625595012</v>
      </c>
      <c r="G112" s="18">
        <v>0.0203943675081663</v>
      </c>
      <c r="H112" s="18">
        <v>0.02144659909508506</v>
      </c>
      <c r="I112" s="18">
        <v>0.02463899472901506</v>
      </c>
      <c r="J112" s="18">
        <v>0.02013762255413726</v>
      </c>
      <c r="K112" s="9"/>
      <c r="L112" s="9"/>
      <c r="M112" s="9"/>
      <c r="N112" s="18"/>
      <c r="O112" s="18">
        <v>0.01910930725333267</v>
      </c>
      <c r="P112" s="18"/>
      <c r="Q112" s="9"/>
      <c r="R112" s="9"/>
      <c r="S112" s="9"/>
      <c r="T112" s="9"/>
      <c r="U112" s="9"/>
      <c r="V112" s="9"/>
      <c r="W112" s="9"/>
      <c r="X112" s="9"/>
      <c r="Y112" s="9"/>
      <c r="Z112" s="9"/>
      <c r="AA112" s="9"/>
      <c r="AB112" s="9"/>
    </row>
    <row r="113" ht="15.75" customHeight="1">
      <c r="A113" s="50" t="s">
        <v>138</v>
      </c>
      <c r="B113" s="18">
        <v>0.01626028532230418</v>
      </c>
      <c r="C113" s="18">
        <v>0.0183981902946151</v>
      </c>
      <c r="D113" s="18">
        <v>0.01445867441981752</v>
      </c>
      <c r="E113" s="18">
        <v>0.01621244127390888</v>
      </c>
      <c r="F113" s="18">
        <v>0.01591332084064608</v>
      </c>
      <c r="G113" s="18">
        <v>0.0212338310194275</v>
      </c>
      <c r="H113" s="18">
        <v>0.02150926474223722</v>
      </c>
      <c r="I113" s="18">
        <v>0.02420404104655387</v>
      </c>
      <c r="J113" s="18">
        <v>0.01995305345853099</v>
      </c>
      <c r="K113" s="9"/>
      <c r="L113" s="9"/>
      <c r="M113" s="9"/>
      <c r="N113" s="18"/>
      <c r="O113" s="18">
        <v>0.01687350121883878</v>
      </c>
      <c r="P113" s="18"/>
      <c r="Q113" s="9"/>
      <c r="R113" s="9"/>
      <c r="S113" s="9"/>
      <c r="T113" s="9"/>
      <c r="U113" s="9"/>
      <c r="V113" s="9"/>
      <c r="W113" s="9"/>
      <c r="X113" s="9"/>
      <c r="Y113" s="9"/>
      <c r="Z113" s="9"/>
      <c r="AA113" s="9"/>
      <c r="AB113" s="9"/>
    </row>
    <row r="114" ht="15.75" customHeight="1">
      <c r="A114" s="50" t="s">
        <v>140</v>
      </c>
      <c r="B114" s="18">
        <v>0.01470441892890647</v>
      </c>
      <c r="C114" s="18">
        <v>0.01921499830077692</v>
      </c>
      <c r="D114" s="18">
        <v>0.01526528161122951</v>
      </c>
      <c r="E114" s="18">
        <v>0.02259944477150212</v>
      </c>
      <c r="F114" s="18">
        <v>0.01578651935765234</v>
      </c>
      <c r="G114" s="18">
        <v>0.02063055751895774</v>
      </c>
      <c r="H114" s="18">
        <v>0.02117236502452009</v>
      </c>
      <c r="I114" s="18">
        <v>0.0241179302741591</v>
      </c>
      <c r="J114" s="18">
        <v>0.02076660103637094</v>
      </c>
      <c r="K114" s="9"/>
      <c r="L114" s="9"/>
      <c r="M114" s="9"/>
      <c r="N114" s="18"/>
      <c r="O114" s="18">
        <v>0.01819011702517766</v>
      </c>
      <c r="P114" s="18"/>
      <c r="Q114" s="9"/>
      <c r="R114" s="9"/>
      <c r="S114" s="9"/>
      <c r="T114" s="9"/>
      <c r="U114" s="9"/>
      <c r="V114" s="9"/>
      <c r="W114" s="9"/>
      <c r="X114" s="9"/>
      <c r="Y114" s="9"/>
      <c r="Z114" s="9"/>
      <c r="AA114" s="9"/>
      <c r="AB114" s="9"/>
    </row>
    <row r="115" ht="15.75" customHeight="1">
      <c r="A115" s="50" t="s">
        <v>141</v>
      </c>
      <c r="B115" s="18">
        <v>0.06118697567078919</v>
      </c>
      <c r="C115" s="18">
        <v>0.05452669092378689</v>
      </c>
      <c r="D115" s="18">
        <v>0.05422800400417431</v>
      </c>
      <c r="E115" s="18">
        <v>0.06055785457861505</v>
      </c>
      <c r="F115" s="18">
        <v>0.06330842577285238</v>
      </c>
      <c r="G115" s="18">
        <v>0.05985031603503291</v>
      </c>
      <c r="H115" s="18">
        <v>0.0608868626357516</v>
      </c>
      <c r="I115" s="18">
        <v>0.06473204464686412</v>
      </c>
      <c r="J115" s="18">
        <v>0.06175692250108653</v>
      </c>
      <c r="K115" s="9"/>
      <c r="L115" s="9"/>
      <c r="M115" s="9"/>
      <c r="N115" s="18"/>
      <c r="O115" s="18">
        <v>0.05933270981931207</v>
      </c>
      <c r="P115" s="18"/>
      <c r="Q115" s="9"/>
      <c r="R115" s="9"/>
      <c r="S115" s="9"/>
      <c r="T115" s="9"/>
      <c r="U115" s="9"/>
      <c r="V115" s="9"/>
      <c r="W115" s="9"/>
      <c r="X115" s="9"/>
      <c r="Y115" s="9"/>
      <c r="Z115" s="9"/>
      <c r="AA115" s="9"/>
      <c r="AB115" s="9"/>
    </row>
    <row r="116" ht="15.75" customHeight="1">
      <c r="A116" s="50" t="s">
        <v>142</v>
      </c>
      <c r="B116" s="18">
        <v>0.9665021909595385</v>
      </c>
      <c r="C116" s="18">
        <v>0.9669924276321228</v>
      </c>
      <c r="D116" s="18">
        <v>0.9518531964784736</v>
      </c>
      <c r="E116" s="18">
        <v>0.9782511456637925</v>
      </c>
      <c r="F116" s="18">
        <v>0.9791934152361266</v>
      </c>
      <c r="G116" s="18">
        <v>0.9756177445017468</v>
      </c>
      <c r="H116" s="18">
        <v>0.9794128976250295</v>
      </c>
      <c r="I116" s="18">
        <v>0.9970049793397001</v>
      </c>
      <c r="J116" s="18">
        <v>0.9794427147536184</v>
      </c>
      <c r="K116" s="9"/>
      <c r="L116" s="9"/>
      <c r="M116" s="9"/>
      <c r="N116" s="18"/>
      <c r="O116" s="18">
        <v>0.9703708319489963</v>
      </c>
      <c r="P116" s="18"/>
      <c r="Q116" s="9"/>
      <c r="R116" s="9"/>
      <c r="S116" s="9"/>
      <c r="T116" s="9"/>
      <c r="U116" s="9"/>
      <c r="V116" s="9"/>
      <c r="W116" s="9"/>
      <c r="X116" s="9"/>
      <c r="Y116" s="9"/>
      <c r="Z116" s="9"/>
      <c r="AA116" s="9"/>
      <c r="AB116" s="9"/>
    </row>
    <row r="117" ht="15.75" customHeight="1">
      <c r="A117" s="50" t="s">
        <v>143</v>
      </c>
      <c r="B117" s="18">
        <v>0.03467854559197278</v>
      </c>
      <c r="C117" s="18">
        <v>0.03494757339134747</v>
      </c>
      <c r="D117" s="18">
        <v>0.04924607798013002</v>
      </c>
      <c r="E117" s="18">
        <v>0.02346374277106348</v>
      </c>
      <c r="F117" s="18">
        <v>0.02210749370236986</v>
      </c>
      <c r="G117" s="18">
        <v>0.0256138176973801</v>
      </c>
      <c r="H117" s="18">
        <v>0.01661387037984581</v>
      </c>
      <c r="I117" s="18">
        <v>0.01359355966847981</v>
      </c>
      <c r="J117" s="18">
        <v>0.02031755164454673</v>
      </c>
      <c r="K117" s="9"/>
      <c r="L117" s="9"/>
      <c r="M117" s="9"/>
      <c r="N117" s="18"/>
      <c r="O117" s="18">
        <v>0.03093817419128633</v>
      </c>
      <c r="P117" s="18"/>
      <c r="Q117" s="9"/>
      <c r="R117" s="9"/>
      <c r="S117" s="9"/>
      <c r="T117" s="9"/>
      <c r="U117" s="9"/>
      <c r="V117" s="9"/>
      <c r="W117" s="9"/>
      <c r="X117" s="9"/>
      <c r="Y117" s="9"/>
      <c r="Z117" s="9"/>
      <c r="AA117" s="9"/>
      <c r="AB117" s="9"/>
    </row>
    <row r="118" ht="15.75" customHeight="1">
      <c r="A118" s="50" t="s">
        <v>147</v>
      </c>
      <c r="B118" s="18">
        <v>0.009081943787547925</v>
      </c>
      <c r="C118" s="18">
        <v>0.008338658440415004</v>
      </c>
      <c r="D118" s="18">
        <v>0.01253861511672006</v>
      </c>
      <c r="E118" s="18">
        <v>0.005752848287564498</v>
      </c>
      <c r="F118" s="18">
        <v>0.005362800795400767</v>
      </c>
      <c r="G118" s="18">
        <v>0.007309673609838536</v>
      </c>
      <c r="H118" s="18">
        <v>0.004185950246925647</v>
      </c>
      <c r="I118" s="18">
        <v>0.003447573624710398</v>
      </c>
      <c r="J118" s="18">
        <v>0.005033890082401337</v>
      </c>
      <c r="K118" s="9"/>
      <c r="L118" s="9"/>
      <c r="M118" s="9"/>
      <c r="N118" s="18"/>
      <c r="O118" s="18">
        <v>0.007955690493919015</v>
      </c>
      <c r="P118" s="18"/>
      <c r="Q118" s="9"/>
      <c r="R118" s="9"/>
      <c r="S118" s="9"/>
      <c r="T118" s="9"/>
      <c r="U118" s="9"/>
      <c r="V118" s="9"/>
      <c r="W118" s="9"/>
      <c r="X118" s="9"/>
      <c r="Y118" s="9"/>
      <c r="Z118" s="9"/>
      <c r="AA118" s="9"/>
      <c r="AB118" s="9"/>
    </row>
    <row r="119" ht="15.75" customHeight="1">
      <c r="A119" s="50" t="s">
        <v>149</v>
      </c>
      <c r="B119" s="18">
        <v>0.02559660180442486</v>
      </c>
      <c r="C119" s="18">
        <v>0.02660891495093247</v>
      </c>
      <c r="D119" s="18">
        <v>0.03670746286340996</v>
      </c>
      <c r="E119" s="18">
        <v>0.01771089448349898</v>
      </c>
      <c r="F119" s="18">
        <v>0.0167446929069691</v>
      </c>
      <c r="G119" s="18">
        <v>0.01830414408754156</v>
      </c>
      <c r="H119" s="18">
        <v>0.01242792013292016</v>
      </c>
      <c r="I119" s="18">
        <v>0.01014598604376941</v>
      </c>
      <c r="J119" s="18">
        <v>0.01528366156214539</v>
      </c>
      <c r="K119" s="9"/>
      <c r="L119" s="9"/>
      <c r="M119" s="9"/>
      <c r="N119" s="18"/>
      <c r="O119" s="18">
        <v>0.02298248369736731</v>
      </c>
      <c r="P119" s="18"/>
      <c r="Q119" s="9"/>
      <c r="R119" s="9"/>
      <c r="S119" s="9"/>
      <c r="T119" s="9"/>
      <c r="U119" s="9"/>
      <c r="V119" s="9"/>
      <c r="W119" s="9"/>
      <c r="X119" s="9"/>
      <c r="Y119" s="9"/>
      <c r="Z119" s="9"/>
      <c r="AA119" s="9"/>
      <c r="AB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5.75" customHeight="1">
      <c r="A123" s="50" t="s">
        <v>181</v>
      </c>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5.75" customHeight="1">
      <c r="A124" s="51" t="s">
        <v>107</v>
      </c>
      <c r="B124" s="51" t="s">
        <v>108</v>
      </c>
      <c r="C124" s="51" t="s">
        <v>109</v>
      </c>
      <c r="D124" s="51" t="s">
        <v>110</v>
      </c>
      <c r="E124" s="51" t="s">
        <v>111</v>
      </c>
      <c r="F124" s="51" t="s">
        <v>112</v>
      </c>
      <c r="G124" s="51" t="s">
        <v>113</v>
      </c>
      <c r="H124" s="51" t="s">
        <v>114</v>
      </c>
      <c r="I124" s="51" t="s">
        <v>115</v>
      </c>
      <c r="J124" s="51" t="s">
        <v>116</v>
      </c>
      <c r="K124" s="9"/>
      <c r="L124" s="9"/>
      <c r="M124" s="9"/>
      <c r="N124" s="51" t="s">
        <v>117</v>
      </c>
      <c r="O124" s="51" t="s">
        <v>118</v>
      </c>
      <c r="P124" s="51" t="s">
        <v>119</v>
      </c>
      <c r="Q124" s="9"/>
      <c r="R124" s="9"/>
      <c r="S124" s="9"/>
      <c r="T124" s="9"/>
      <c r="U124" s="9"/>
      <c r="V124" s="9"/>
      <c r="W124" s="9"/>
      <c r="X124" s="9"/>
      <c r="Y124" s="9"/>
      <c r="Z124" s="9"/>
      <c r="AA124" s="9"/>
      <c r="AB124" s="9"/>
    </row>
    <row r="125" ht="15.75" customHeight="1">
      <c r="A125" s="50" t="s">
        <v>84</v>
      </c>
      <c r="B125" s="52"/>
      <c r="C125" s="52"/>
      <c r="D125" s="52"/>
      <c r="E125" s="52"/>
      <c r="F125" s="52"/>
      <c r="G125" s="52"/>
      <c r="H125" s="52">
        <v>0.0</v>
      </c>
      <c r="I125" s="52">
        <v>39670.30873189215</v>
      </c>
      <c r="J125" s="52">
        <v>35075.64250917893</v>
      </c>
      <c r="K125" s="9"/>
      <c r="L125" s="9"/>
      <c r="M125" s="9"/>
      <c r="N125" s="52"/>
      <c r="O125" s="52"/>
      <c r="P125" s="52"/>
      <c r="Q125" s="9"/>
      <c r="R125" s="9"/>
      <c r="S125" s="9"/>
      <c r="T125" s="9"/>
      <c r="U125" s="9"/>
      <c r="V125" s="9"/>
      <c r="W125" s="9"/>
      <c r="X125" s="9"/>
      <c r="Y125" s="9"/>
      <c r="Z125" s="9"/>
      <c r="AA125" s="9"/>
      <c r="AB125" s="9"/>
    </row>
    <row r="126" ht="15.75" customHeight="1">
      <c r="A126" s="50" t="s">
        <v>85</v>
      </c>
      <c r="B126" s="52"/>
      <c r="C126" s="52"/>
      <c r="D126" s="52"/>
      <c r="E126" s="52"/>
      <c r="F126" s="52"/>
      <c r="G126" s="52"/>
      <c r="H126" s="52">
        <v>3122.79</v>
      </c>
      <c r="I126" s="52">
        <v>4399.18</v>
      </c>
      <c r="J126" s="52">
        <v>4872.23</v>
      </c>
      <c r="K126" s="9"/>
      <c r="L126" s="9"/>
      <c r="M126" s="9"/>
      <c r="N126" s="52"/>
      <c r="O126" s="52"/>
      <c r="P126" s="52"/>
      <c r="Q126" s="52">
        <f t="shared" ref="Q126:Q139" si="17">SUM(G126:J126)</f>
        <v>12394.2</v>
      </c>
      <c r="R126" s="9"/>
      <c r="S126" s="9"/>
      <c r="T126" s="9"/>
      <c r="U126" s="9"/>
      <c r="V126" s="9"/>
      <c r="W126" s="9"/>
      <c r="X126" s="9"/>
      <c r="Y126" s="9"/>
      <c r="Z126" s="9"/>
      <c r="AA126" s="9"/>
      <c r="AB126" s="9"/>
    </row>
    <row r="127" ht="15.75" customHeight="1">
      <c r="A127" s="50" t="s">
        <v>121</v>
      </c>
      <c r="B127" s="52"/>
      <c r="C127" s="52"/>
      <c r="D127" s="52"/>
      <c r="E127" s="52"/>
      <c r="F127" s="52"/>
      <c r="G127" s="52"/>
      <c r="H127" s="52">
        <v>28.54</v>
      </c>
      <c r="I127" s="52">
        <v>2.41</v>
      </c>
      <c r="J127" s="52">
        <v>6.11</v>
      </c>
      <c r="K127" s="9"/>
      <c r="L127" s="9"/>
      <c r="M127" s="9"/>
      <c r="N127" s="52"/>
      <c r="O127" s="52"/>
      <c r="P127" s="52"/>
      <c r="Q127" s="52">
        <f t="shared" si="17"/>
        <v>37.06</v>
      </c>
      <c r="R127" s="9"/>
      <c r="S127" s="9"/>
      <c r="T127" s="9"/>
      <c r="U127" s="9"/>
      <c r="V127" s="9"/>
      <c r="W127" s="9"/>
      <c r="X127" s="9"/>
      <c r="Y127" s="9"/>
      <c r="Z127" s="9"/>
      <c r="AA127" s="9"/>
      <c r="AB127" s="9"/>
    </row>
    <row r="128" ht="15.75" customHeight="1">
      <c r="A128" s="50" t="s">
        <v>127</v>
      </c>
      <c r="B128" s="52"/>
      <c r="C128" s="52"/>
      <c r="D128" s="52"/>
      <c r="E128" s="52"/>
      <c r="F128" s="52"/>
      <c r="G128" s="52"/>
      <c r="H128" s="52">
        <v>3151.33</v>
      </c>
      <c r="I128" s="52">
        <v>4401.59</v>
      </c>
      <c r="J128" s="52">
        <v>4878.34</v>
      </c>
      <c r="K128" s="9"/>
      <c r="L128" s="9"/>
      <c r="M128" s="9"/>
      <c r="N128" s="52"/>
      <c r="O128" s="52"/>
      <c r="P128" s="52"/>
      <c r="Q128" s="52">
        <f t="shared" si="17"/>
        <v>12431.26</v>
      </c>
      <c r="R128" s="9"/>
      <c r="S128" s="9"/>
      <c r="T128" s="9"/>
      <c r="U128" s="9"/>
      <c r="V128" s="9"/>
      <c r="W128" s="9"/>
      <c r="X128" s="9"/>
      <c r="Y128" s="9"/>
      <c r="Z128" s="9"/>
      <c r="AA128" s="9"/>
      <c r="AB128" s="9"/>
    </row>
    <row r="129" ht="15.75" customHeight="1">
      <c r="A129" s="50" t="s">
        <v>131</v>
      </c>
      <c r="B129" s="52"/>
      <c r="C129" s="52"/>
      <c r="D129" s="52"/>
      <c r="E129" s="52"/>
      <c r="F129" s="52"/>
      <c r="G129" s="52"/>
      <c r="H129" s="52">
        <v>0.0</v>
      </c>
      <c r="I129" s="52">
        <v>0.0</v>
      </c>
      <c r="J129" s="52">
        <v>0.0</v>
      </c>
      <c r="K129" s="9"/>
      <c r="L129" s="9"/>
      <c r="M129" s="9"/>
      <c r="N129" s="52"/>
      <c r="O129" s="52"/>
      <c r="P129" s="52"/>
      <c r="Q129" s="52">
        <f t="shared" si="17"/>
        <v>0</v>
      </c>
      <c r="R129" s="9"/>
      <c r="S129" s="9"/>
      <c r="T129" s="9"/>
      <c r="U129" s="9"/>
      <c r="V129" s="9"/>
      <c r="W129" s="9"/>
      <c r="X129" s="9"/>
      <c r="Y129" s="9"/>
      <c r="Z129" s="9"/>
      <c r="AA129" s="9"/>
      <c r="AB129" s="9"/>
    </row>
    <row r="130" ht="15.75" customHeight="1">
      <c r="A130" s="50" t="s">
        <v>133</v>
      </c>
      <c r="B130" s="52"/>
      <c r="C130" s="52"/>
      <c r="D130" s="52"/>
      <c r="E130" s="52"/>
      <c r="F130" s="52"/>
      <c r="G130" s="52"/>
      <c r="H130" s="52">
        <v>3100.02</v>
      </c>
      <c r="I130" s="52">
        <v>2159.74</v>
      </c>
      <c r="J130" s="52">
        <v>6545.55</v>
      </c>
      <c r="K130" s="9"/>
      <c r="L130" s="9"/>
      <c r="M130" s="9"/>
      <c r="N130" s="52"/>
      <c r="O130" s="52"/>
      <c r="P130" s="52"/>
      <c r="Q130" s="52">
        <f t="shared" si="17"/>
        <v>11805.31</v>
      </c>
      <c r="R130" s="9"/>
      <c r="S130" s="9"/>
      <c r="T130" s="9"/>
      <c r="U130" s="9"/>
      <c r="V130" s="9"/>
      <c r="W130" s="9"/>
      <c r="X130" s="9"/>
      <c r="Y130" s="9"/>
      <c r="Z130" s="9"/>
      <c r="AA130" s="9"/>
      <c r="AB130" s="9"/>
    </row>
    <row r="131" ht="15.75" customHeight="1">
      <c r="A131" s="50" t="s">
        <v>134</v>
      </c>
      <c r="B131" s="52"/>
      <c r="C131" s="52"/>
      <c r="D131" s="52"/>
      <c r="E131" s="52"/>
      <c r="F131" s="52"/>
      <c r="G131" s="52"/>
      <c r="H131" s="52">
        <v>-644.27</v>
      </c>
      <c r="I131" s="52">
        <v>1362.88</v>
      </c>
      <c r="J131" s="52">
        <v>-2686.56</v>
      </c>
      <c r="K131" s="9"/>
      <c r="L131" s="9"/>
      <c r="M131" s="9"/>
      <c r="N131" s="52"/>
      <c r="O131" s="52"/>
      <c r="P131" s="52"/>
      <c r="Q131" s="52">
        <f t="shared" si="17"/>
        <v>-1967.95</v>
      </c>
      <c r="R131" s="9"/>
      <c r="S131" s="9"/>
      <c r="T131" s="9"/>
      <c r="U131" s="9"/>
      <c r="V131" s="9"/>
      <c r="W131" s="9"/>
      <c r="X131" s="9"/>
      <c r="Y131" s="9"/>
      <c r="Z131" s="9"/>
      <c r="AA131" s="9"/>
      <c r="AB131" s="9"/>
    </row>
    <row r="132" ht="15.75" customHeight="1">
      <c r="A132" s="50" t="s">
        <v>136</v>
      </c>
      <c r="B132" s="52"/>
      <c r="C132" s="52"/>
      <c r="D132" s="52"/>
      <c r="E132" s="52"/>
      <c r="F132" s="52"/>
      <c r="G132" s="52"/>
      <c r="H132" s="52">
        <v>222.92</v>
      </c>
      <c r="I132" s="52">
        <v>223.86</v>
      </c>
      <c r="J132" s="52">
        <v>269.2</v>
      </c>
      <c r="K132" s="9"/>
      <c r="L132" s="9"/>
      <c r="M132" s="9"/>
      <c r="N132" s="52"/>
      <c r="O132" s="52"/>
      <c r="P132" s="52"/>
      <c r="Q132" s="52">
        <f t="shared" si="17"/>
        <v>715.98</v>
      </c>
      <c r="R132" s="9"/>
      <c r="S132" s="9"/>
      <c r="T132" s="9"/>
      <c r="U132" s="9"/>
      <c r="V132" s="9"/>
      <c r="W132" s="9"/>
      <c r="X132" s="9"/>
      <c r="Y132" s="9"/>
      <c r="Z132" s="9"/>
      <c r="AA132" s="9"/>
      <c r="AB132" s="9"/>
    </row>
    <row r="133" ht="15.75" customHeight="1">
      <c r="A133" s="50" t="s">
        <v>138</v>
      </c>
      <c r="B133" s="52"/>
      <c r="C133" s="52"/>
      <c r="D133" s="52"/>
      <c r="E133" s="52"/>
      <c r="F133" s="52"/>
      <c r="G133" s="52"/>
      <c r="H133" s="52">
        <v>106.56</v>
      </c>
      <c r="I133" s="52">
        <v>84.38</v>
      </c>
      <c r="J133" s="52">
        <v>89.6</v>
      </c>
      <c r="K133" s="9"/>
      <c r="L133" s="9"/>
      <c r="M133" s="9"/>
      <c r="N133" s="52"/>
      <c r="O133" s="52"/>
      <c r="P133" s="52"/>
      <c r="Q133" s="52">
        <f t="shared" si="17"/>
        <v>280.54</v>
      </c>
      <c r="R133" s="9"/>
      <c r="S133" s="9"/>
      <c r="T133" s="9"/>
      <c r="U133" s="9"/>
      <c r="V133" s="9"/>
      <c r="W133" s="9"/>
      <c r="X133" s="9"/>
      <c r="Y133" s="9"/>
      <c r="Z133" s="9"/>
      <c r="AA133" s="9"/>
      <c r="AB133" s="9"/>
    </row>
    <row r="134" ht="15.75" customHeight="1">
      <c r="A134" s="50" t="s">
        <v>140</v>
      </c>
      <c r="B134" s="52"/>
      <c r="C134" s="52"/>
      <c r="D134" s="52"/>
      <c r="E134" s="52"/>
      <c r="F134" s="52"/>
      <c r="G134" s="52"/>
      <c r="H134" s="52">
        <v>20.4</v>
      </c>
      <c r="I134" s="52">
        <v>22.24</v>
      </c>
      <c r="J134" s="52">
        <v>28.43</v>
      </c>
      <c r="K134" s="9"/>
      <c r="L134" s="9"/>
      <c r="M134" s="9"/>
      <c r="N134" s="52"/>
      <c r="O134" s="52"/>
      <c r="P134" s="52"/>
      <c r="Q134" s="52">
        <f t="shared" si="17"/>
        <v>71.07</v>
      </c>
      <c r="R134" s="9"/>
      <c r="S134" s="9"/>
      <c r="T134" s="9"/>
      <c r="U134" s="9"/>
      <c r="V134" s="9"/>
      <c r="W134" s="9"/>
      <c r="X134" s="9"/>
      <c r="Y134" s="9"/>
      <c r="Z134" s="9"/>
      <c r="AA134" s="9"/>
      <c r="AB134" s="9"/>
    </row>
    <row r="135" ht="15.75" customHeight="1">
      <c r="A135" s="50" t="s">
        <v>141</v>
      </c>
      <c r="B135" s="52"/>
      <c r="C135" s="52"/>
      <c r="D135" s="52"/>
      <c r="E135" s="52"/>
      <c r="F135" s="52"/>
      <c r="G135" s="52"/>
      <c r="H135" s="52">
        <v>121.0</v>
      </c>
      <c r="I135" s="52">
        <v>187.3</v>
      </c>
      <c r="J135" s="52">
        <v>204.38</v>
      </c>
      <c r="K135" s="9"/>
      <c r="L135" s="9"/>
      <c r="M135" s="9"/>
      <c r="N135" s="52"/>
      <c r="O135" s="52"/>
      <c r="P135" s="52"/>
      <c r="Q135" s="52">
        <f t="shared" si="17"/>
        <v>512.68</v>
      </c>
      <c r="R135" s="9"/>
      <c r="S135" s="9"/>
      <c r="T135" s="9"/>
      <c r="U135" s="9"/>
      <c r="V135" s="9"/>
      <c r="W135" s="9"/>
      <c r="X135" s="9"/>
      <c r="Y135" s="9"/>
      <c r="Z135" s="9"/>
      <c r="AA135" s="9"/>
      <c r="AB135" s="9"/>
    </row>
    <row r="136" ht="15.75" customHeight="1">
      <c r="A136" s="50" t="s">
        <v>142</v>
      </c>
      <c r="B136" s="52"/>
      <c r="C136" s="52"/>
      <c r="D136" s="52"/>
      <c r="E136" s="52"/>
      <c r="F136" s="52"/>
      <c r="G136" s="52"/>
      <c r="H136" s="52">
        <v>2926.63</v>
      </c>
      <c r="I136" s="52">
        <v>4040.4</v>
      </c>
      <c r="J136" s="52">
        <v>4450.6</v>
      </c>
      <c r="K136" s="9"/>
      <c r="L136" s="9"/>
      <c r="M136" s="9"/>
      <c r="N136" s="52"/>
      <c r="O136" s="52"/>
      <c r="P136" s="52"/>
      <c r="Q136" s="52">
        <f t="shared" si="17"/>
        <v>11417.63</v>
      </c>
      <c r="R136" s="9"/>
      <c r="S136" s="9"/>
      <c r="T136" s="9"/>
      <c r="U136" s="9"/>
      <c r="V136" s="9"/>
      <c r="W136" s="9"/>
      <c r="X136" s="9"/>
      <c r="Y136" s="9"/>
      <c r="Z136" s="9"/>
      <c r="AA136" s="9"/>
      <c r="AB136" s="9"/>
    </row>
    <row r="137" ht="15.75" customHeight="1">
      <c r="A137" s="50" t="s">
        <v>143</v>
      </c>
      <c r="B137" s="52"/>
      <c r="C137" s="52"/>
      <c r="D137" s="52"/>
      <c r="E137" s="52"/>
      <c r="F137" s="52"/>
      <c r="G137" s="52"/>
      <c r="H137" s="52">
        <v>224.7</v>
      </c>
      <c r="I137" s="52">
        <v>361.19</v>
      </c>
      <c r="J137" s="52">
        <v>427.74</v>
      </c>
      <c r="K137" s="9"/>
      <c r="L137" s="9"/>
      <c r="M137" s="9"/>
      <c r="N137" s="52"/>
      <c r="O137" s="52"/>
      <c r="P137" s="52"/>
      <c r="Q137" s="52">
        <f t="shared" si="17"/>
        <v>1013.63</v>
      </c>
      <c r="R137" s="9"/>
      <c r="S137" s="9"/>
      <c r="T137" s="9"/>
      <c r="U137" s="9"/>
      <c r="V137" s="9"/>
      <c r="W137" s="9"/>
      <c r="X137" s="9"/>
      <c r="Y137" s="9"/>
      <c r="Z137" s="9"/>
      <c r="AA137" s="9"/>
      <c r="AB137" s="9"/>
    </row>
    <row r="138" ht="15.75" customHeight="1">
      <c r="A138" s="50" t="s">
        <v>147</v>
      </c>
      <c r="B138" s="52"/>
      <c r="C138" s="52"/>
      <c r="D138" s="52"/>
      <c r="E138" s="52"/>
      <c r="F138" s="52"/>
      <c r="G138" s="52"/>
      <c r="H138" s="52">
        <v>39.5</v>
      </c>
      <c r="I138" s="52">
        <v>34.58</v>
      </c>
      <c r="J138" s="52">
        <v>40.87</v>
      </c>
      <c r="K138" s="9"/>
      <c r="L138" s="9"/>
      <c r="M138" s="9"/>
      <c r="N138" s="52"/>
      <c r="O138" s="52"/>
      <c r="P138" s="52"/>
      <c r="Q138" s="52">
        <f t="shared" si="17"/>
        <v>114.95</v>
      </c>
      <c r="R138" s="9"/>
      <c r="S138" s="9"/>
      <c r="T138" s="9"/>
      <c r="U138" s="9"/>
      <c r="V138" s="9"/>
      <c r="W138" s="9"/>
      <c r="X138" s="9"/>
      <c r="Y138" s="9"/>
      <c r="Z138" s="9"/>
      <c r="AA138" s="9"/>
      <c r="AB138" s="9"/>
    </row>
    <row r="139" ht="15.75" customHeight="1">
      <c r="A139" s="50" t="s">
        <v>149</v>
      </c>
      <c r="B139" s="52"/>
      <c r="C139" s="52"/>
      <c r="D139" s="52"/>
      <c r="E139" s="52"/>
      <c r="F139" s="52"/>
      <c r="G139" s="52"/>
      <c r="H139" s="52">
        <v>185.2</v>
      </c>
      <c r="I139" s="52">
        <v>326.61</v>
      </c>
      <c r="J139" s="52">
        <v>386.87</v>
      </c>
      <c r="K139" s="9"/>
      <c r="L139" s="9"/>
      <c r="M139" s="9"/>
      <c r="N139" s="52"/>
      <c r="O139" s="52"/>
      <c r="P139" s="52"/>
      <c r="Q139" s="52">
        <f t="shared" si="17"/>
        <v>898.68</v>
      </c>
      <c r="R139" s="9"/>
      <c r="S139" s="9"/>
      <c r="T139" s="9"/>
      <c r="U139" s="9"/>
      <c r="V139" s="9"/>
      <c r="W139" s="9"/>
      <c r="X139" s="9"/>
      <c r="Y139" s="9"/>
      <c r="Z139" s="9"/>
      <c r="AA139" s="9"/>
      <c r="AB139" s="9"/>
    </row>
    <row r="140" ht="15.75" customHeight="1">
      <c r="A140" s="50" t="s">
        <v>152</v>
      </c>
      <c r="B140" s="52"/>
      <c r="C140" s="52"/>
      <c r="D140" s="52"/>
      <c r="E140" s="52"/>
      <c r="F140" s="52"/>
      <c r="G140" s="52"/>
      <c r="H140" s="52"/>
      <c r="I140" s="52">
        <v>373.11</v>
      </c>
      <c r="J140" s="52"/>
      <c r="K140" s="9"/>
      <c r="L140" s="9"/>
      <c r="M140" s="9"/>
      <c r="N140" s="52"/>
      <c r="O140" s="52"/>
      <c r="P140" s="52"/>
      <c r="Q140" s="9"/>
      <c r="R140" s="9"/>
      <c r="S140" s="9"/>
      <c r="T140" s="9"/>
      <c r="U140" s="9"/>
      <c r="V140" s="9"/>
      <c r="W140" s="9"/>
      <c r="X140" s="9"/>
      <c r="Y140" s="9"/>
      <c r="Z140" s="9"/>
      <c r="AA140" s="9"/>
      <c r="AB140" s="9"/>
    </row>
    <row r="141" ht="15.75" customHeight="1">
      <c r="A141" s="50" t="s">
        <v>154</v>
      </c>
      <c r="B141" s="52"/>
      <c r="C141" s="52"/>
      <c r="D141" s="52"/>
      <c r="E141" s="52"/>
      <c r="F141" s="52"/>
      <c r="G141" s="52"/>
      <c r="H141" s="52"/>
      <c r="I141" s="52">
        <v>0.0</v>
      </c>
      <c r="J141" s="52"/>
      <c r="K141" s="9"/>
      <c r="L141" s="9"/>
      <c r="M141" s="9"/>
      <c r="N141" s="52"/>
      <c r="O141" s="52"/>
      <c r="P141" s="52"/>
      <c r="Q141" s="9"/>
      <c r="R141" s="9"/>
      <c r="S141" s="9"/>
      <c r="T141" s="9"/>
      <c r="U141" s="9"/>
      <c r="V141" s="9"/>
      <c r="W141" s="9"/>
      <c r="X141" s="9"/>
      <c r="Y141" s="9"/>
      <c r="Z141" s="9"/>
      <c r="AA141" s="9"/>
      <c r="AB141" s="9"/>
    </row>
    <row r="142" ht="15.75" customHeight="1">
      <c r="A142" s="50" t="s">
        <v>155</v>
      </c>
      <c r="B142" s="52"/>
      <c r="C142" s="52"/>
      <c r="D142" s="52"/>
      <c r="E142" s="52"/>
      <c r="F142" s="52"/>
      <c r="G142" s="52"/>
      <c r="H142" s="52"/>
      <c r="I142" s="52">
        <v>0.0</v>
      </c>
      <c r="J142" s="52"/>
      <c r="K142" s="9"/>
      <c r="L142" s="9"/>
      <c r="M142" s="9"/>
      <c r="N142" s="52"/>
      <c r="O142" s="52"/>
      <c r="P142" s="52"/>
      <c r="Q142" s="9"/>
      <c r="R142" s="9"/>
      <c r="S142" s="9"/>
      <c r="T142" s="9"/>
      <c r="U142" s="9"/>
      <c r="V142" s="9"/>
      <c r="W142" s="9"/>
      <c r="X142" s="9"/>
      <c r="Y142" s="9"/>
      <c r="Z142" s="9"/>
      <c r="AA142" s="9"/>
      <c r="AB142" s="9"/>
    </row>
    <row r="143" ht="15.75" customHeight="1">
      <c r="A143" s="50" t="s">
        <v>156</v>
      </c>
      <c r="B143" s="52"/>
      <c r="C143" s="52"/>
      <c r="D143" s="52"/>
      <c r="E143" s="52"/>
      <c r="F143" s="52"/>
      <c r="G143" s="52"/>
      <c r="H143" s="52"/>
      <c r="I143" s="52">
        <v>4147.06</v>
      </c>
      <c r="J143" s="52"/>
      <c r="K143" s="9"/>
      <c r="L143" s="9"/>
      <c r="M143" s="9"/>
      <c r="N143" s="52"/>
      <c r="O143" s="52"/>
      <c r="P143" s="52"/>
      <c r="Q143" s="9"/>
      <c r="R143" s="9"/>
      <c r="S143" s="9"/>
      <c r="T143" s="9"/>
      <c r="U143" s="9"/>
      <c r="V143" s="9"/>
      <c r="W143" s="9"/>
      <c r="X143" s="9"/>
      <c r="Y143" s="9"/>
      <c r="Z143" s="9"/>
      <c r="AA143" s="9"/>
      <c r="AB143" s="9"/>
    </row>
    <row r="144" ht="15.75" customHeight="1">
      <c r="A144" s="50" t="s">
        <v>157</v>
      </c>
      <c r="B144" s="52"/>
      <c r="C144" s="52"/>
      <c r="D144" s="52"/>
      <c r="E144" s="52"/>
      <c r="F144" s="52"/>
      <c r="G144" s="52"/>
      <c r="H144" s="52"/>
      <c r="I144" s="52">
        <v>1748.14</v>
      </c>
      <c r="J144" s="52"/>
      <c r="K144" s="9"/>
      <c r="L144" s="9"/>
      <c r="M144" s="9"/>
      <c r="N144" s="52"/>
      <c r="O144" s="52"/>
      <c r="P144" s="52"/>
      <c r="Q144" s="9"/>
      <c r="R144" s="9"/>
      <c r="S144" s="9"/>
      <c r="T144" s="9"/>
      <c r="U144" s="9"/>
      <c r="V144" s="9"/>
      <c r="W144" s="9"/>
      <c r="X144" s="9"/>
      <c r="Y144" s="9"/>
      <c r="Z144" s="9"/>
      <c r="AA144" s="9"/>
      <c r="AB144" s="9"/>
    </row>
    <row r="145" ht="15.75" customHeight="1">
      <c r="A145" s="50" t="s">
        <v>158</v>
      </c>
      <c r="B145" s="52"/>
      <c r="C145" s="52"/>
      <c r="D145" s="52"/>
      <c r="E145" s="52"/>
      <c r="F145" s="52"/>
      <c r="G145" s="52"/>
      <c r="H145" s="52"/>
      <c r="I145" s="52">
        <v>902.41</v>
      </c>
      <c r="J145" s="52"/>
      <c r="K145" s="9"/>
      <c r="L145" s="9"/>
      <c r="M145" s="9"/>
      <c r="N145" s="52"/>
      <c r="O145" s="52"/>
      <c r="P145" s="52"/>
      <c r="Q145" s="9"/>
      <c r="R145" s="9"/>
      <c r="S145" s="9"/>
      <c r="T145" s="9"/>
      <c r="U145" s="9"/>
      <c r="V145" s="9"/>
      <c r="W145" s="9"/>
      <c r="X145" s="9"/>
      <c r="Y145" s="9"/>
      <c r="Z145" s="9"/>
      <c r="AA145" s="9"/>
      <c r="AB145" s="9"/>
    </row>
    <row r="146" ht="15.75" customHeight="1">
      <c r="A146" s="50" t="s">
        <v>159</v>
      </c>
      <c r="B146" s="52"/>
      <c r="C146" s="52"/>
      <c r="D146" s="52"/>
      <c r="E146" s="52"/>
      <c r="F146" s="52"/>
      <c r="G146" s="52"/>
      <c r="H146" s="52"/>
      <c r="I146" s="52">
        <v>663.97</v>
      </c>
      <c r="J146" s="52"/>
      <c r="K146" s="9"/>
      <c r="L146" s="9"/>
      <c r="M146" s="9"/>
      <c r="N146" s="52"/>
      <c r="O146" s="52"/>
      <c r="P146" s="52"/>
      <c r="Q146" s="9"/>
      <c r="R146" s="9"/>
      <c r="S146" s="9"/>
      <c r="T146" s="9"/>
      <c r="U146" s="9"/>
      <c r="V146" s="9"/>
      <c r="W146" s="9"/>
      <c r="X146" s="9"/>
      <c r="Y146" s="9"/>
      <c r="Z146" s="9"/>
      <c r="AA146" s="9"/>
      <c r="AB146" s="9"/>
    </row>
    <row r="147" ht="15.75" customHeight="1">
      <c r="A147" s="50" t="s">
        <v>160</v>
      </c>
      <c r="B147" s="52"/>
      <c r="C147" s="52"/>
      <c r="D147" s="52"/>
      <c r="E147" s="52"/>
      <c r="F147" s="52"/>
      <c r="G147" s="52"/>
      <c r="H147" s="52"/>
      <c r="I147" s="52">
        <v>6691.86</v>
      </c>
      <c r="J147" s="52"/>
      <c r="K147" s="9"/>
      <c r="L147" s="9"/>
      <c r="M147" s="9"/>
      <c r="N147" s="52"/>
      <c r="O147" s="52"/>
      <c r="P147" s="52"/>
      <c r="Q147" s="9"/>
      <c r="R147" s="9"/>
      <c r="S147" s="9"/>
      <c r="T147" s="9"/>
      <c r="U147" s="9"/>
      <c r="V147" s="9"/>
      <c r="W147" s="9"/>
      <c r="X147" s="9"/>
      <c r="Y147" s="9"/>
      <c r="Z147" s="9"/>
      <c r="AA147" s="9"/>
      <c r="AB147" s="9"/>
    </row>
    <row r="148" ht="15.75" customHeight="1">
      <c r="A148" s="50" t="s">
        <v>161</v>
      </c>
      <c r="B148" s="52"/>
      <c r="C148" s="52"/>
      <c r="D148" s="52"/>
      <c r="E148" s="52"/>
      <c r="F148" s="52"/>
      <c r="G148" s="52"/>
      <c r="H148" s="52"/>
      <c r="I148" s="52">
        <v>30.7</v>
      </c>
      <c r="J148" s="52"/>
      <c r="K148" s="9"/>
      <c r="L148" s="9"/>
      <c r="M148" s="9"/>
      <c r="N148" s="52"/>
      <c r="O148" s="52"/>
      <c r="P148" s="52"/>
      <c r="Q148" s="9"/>
      <c r="R148" s="9"/>
      <c r="S148" s="9"/>
      <c r="T148" s="9"/>
      <c r="U148" s="9"/>
      <c r="V148" s="9"/>
      <c r="W148" s="9"/>
      <c r="X148" s="9"/>
      <c r="Y148" s="9"/>
      <c r="Z148" s="9"/>
      <c r="AA148" s="9"/>
      <c r="AB148" s="9"/>
    </row>
    <row r="149" ht="15.75" customHeight="1">
      <c r="A149" s="50" t="s">
        <v>162</v>
      </c>
      <c r="B149" s="52"/>
      <c r="C149" s="52"/>
      <c r="D149" s="52"/>
      <c r="E149" s="52"/>
      <c r="F149" s="52"/>
      <c r="G149" s="52"/>
      <c r="H149" s="52"/>
      <c r="I149" s="52">
        <v>117.05</v>
      </c>
      <c r="J149" s="52"/>
      <c r="K149" s="9"/>
      <c r="L149" s="9"/>
      <c r="M149" s="9"/>
      <c r="N149" s="52"/>
      <c r="O149" s="52"/>
      <c r="P149" s="52"/>
      <c r="Q149" s="9"/>
      <c r="R149" s="9"/>
      <c r="S149" s="9"/>
      <c r="T149" s="9"/>
      <c r="U149" s="9"/>
      <c r="V149" s="9"/>
      <c r="W149" s="9"/>
      <c r="X149" s="9"/>
      <c r="Y149" s="9"/>
      <c r="Z149" s="9"/>
      <c r="AA149" s="9"/>
      <c r="AB149" s="9"/>
    </row>
    <row r="150" ht="15.75" customHeight="1">
      <c r="A150" s="50" t="s">
        <v>165</v>
      </c>
      <c r="B150" s="52"/>
      <c r="C150" s="52"/>
      <c r="D150" s="52"/>
      <c r="E150" s="52"/>
      <c r="F150" s="52"/>
      <c r="G150" s="52"/>
      <c r="H150" s="52"/>
      <c r="I150" s="52">
        <v>2049.02</v>
      </c>
      <c r="J150" s="52"/>
      <c r="K150" s="9"/>
      <c r="L150" s="9"/>
      <c r="M150" s="9"/>
      <c r="N150" s="52"/>
      <c r="O150" s="52"/>
      <c r="P150" s="52"/>
      <c r="Q150" s="9"/>
      <c r="R150" s="9"/>
      <c r="S150" s="9"/>
      <c r="T150" s="9"/>
      <c r="U150" s="9"/>
      <c r="V150" s="9"/>
      <c r="W150" s="9"/>
      <c r="X150" s="9"/>
      <c r="Y150" s="9"/>
      <c r="Z150" s="9"/>
      <c r="AA150" s="9"/>
      <c r="AB150" s="9"/>
    </row>
    <row r="151" ht="15.75" customHeight="1">
      <c r="A151" s="50" t="s">
        <v>166</v>
      </c>
      <c r="B151" s="52"/>
      <c r="C151" s="52"/>
      <c r="D151" s="52"/>
      <c r="E151" s="52"/>
      <c r="F151" s="52"/>
      <c r="G151" s="52"/>
      <c r="H151" s="52"/>
      <c r="I151" s="52">
        <v>63.16</v>
      </c>
      <c r="J151" s="52"/>
      <c r="K151" s="9"/>
      <c r="L151" s="9"/>
      <c r="M151" s="9"/>
      <c r="N151" s="52"/>
      <c r="O151" s="52"/>
      <c r="P151" s="52"/>
      <c r="Q151" s="9"/>
      <c r="R151" s="9"/>
      <c r="S151" s="9"/>
      <c r="T151" s="9"/>
      <c r="U151" s="9"/>
      <c r="V151" s="9"/>
      <c r="W151" s="9"/>
      <c r="X151" s="9"/>
      <c r="Y151" s="9"/>
      <c r="Z151" s="9"/>
      <c r="AA151" s="9"/>
      <c r="AB151" s="9"/>
    </row>
    <row r="152" ht="15.75" customHeight="1">
      <c r="A152" s="50" t="s">
        <v>67</v>
      </c>
      <c r="B152" s="52"/>
      <c r="C152" s="52"/>
      <c r="D152" s="52"/>
      <c r="E152" s="52"/>
      <c r="F152" s="52"/>
      <c r="G152" s="52"/>
      <c r="H152" s="52">
        <v>667.04</v>
      </c>
      <c r="I152" s="52">
        <v>876.56</v>
      </c>
      <c r="J152" s="52">
        <v>1013.24</v>
      </c>
      <c r="K152" s="9"/>
      <c r="L152" s="9"/>
      <c r="M152" s="9"/>
      <c r="N152" s="52"/>
      <c r="O152" s="52"/>
      <c r="P152" s="52"/>
      <c r="Q152" s="9"/>
      <c r="R152" s="9"/>
      <c r="S152" s="9"/>
      <c r="T152" s="9"/>
      <c r="U152" s="9"/>
      <c r="V152" s="9"/>
      <c r="W152" s="9"/>
      <c r="X152" s="9"/>
      <c r="Y152" s="9"/>
      <c r="Z152" s="9"/>
      <c r="AA152" s="9"/>
      <c r="AB152" s="9"/>
    </row>
    <row r="153" ht="15.75" customHeight="1">
      <c r="A153" s="50" t="s">
        <v>169</v>
      </c>
      <c r="B153" s="18"/>
      <c r="C153" s="18"/>
      <c r="D153" s="18"/>
      <c r="E153" s="18"/>
      <c r="F153" s="18"/>
      <c r="G153" s="18"/>
      <c r="H153" s="18">
        <v>0.2136038606502519</v>
      </c>
      <c r="I153" s="18">
        <v>0.1992553157633923</v>
      </c>
      <c r="J153" s="18">
        <v>0.2079622677911347</v>
      </c>
      <c r="K153" s="9"/>
      <c r="L153" s="9"/>
      <c r="M153" s="9"/>
      <c r="N153" s="18"/>
      <c r="O153" s="18"/>
      <c r="P153" s="18"/>
      <c r="Q153" s="9"/>
      <c r="R153" s="9"/>
      <c r="S153" s="9"/>
      <c r="T153" s="9"/>
      <c r="U153" s="9"/>
      <c r="V153" s="9"/>
      <c r="W153" s="9"/>
      <c r="X153" s="9"/>
      <c r="Y153" s="9"/>
      <c r="Z153" s="9"/>
      <c r="AA153" s="9"/>
      <c r="AB153" s="9"/>
    </row>
    <row r="154" ht="15.75" customHeight="1">
      <c r="A154" s="50" t="s">
        <v>88</v>
      </c>
      <c r="B154" s="52"/>
      <c r="C154" s="52"/>
      <c r="D154" s="52"/>
      <c r="E154" s="52"/>
      <c r="F154" s="52"/>
      <c r="G154" s="52"/>
      <c r="H154" s="52">
        <v>351.66</v>
      </c>
      <c r="I154" s="52">
        <v>467.81</v>
      </c>
      <c r="J154" s="52">
        <v>545.77</v>
      </c>
      <c r="K154" s="9"/>
      <c r="L154" s="9"/>
      <c r="M154" s="9"/>
      <c r="N154" s="52"/>
      <c r="O154" s="52"/>
      <c r="P154" s="52"/>
      <c r="Q154" s="9"/>
      <c r="R154" s="9"/>
      <c r="S154" s="9"/>
      <c r="T154" s="9"/>
      <c r="U154" s="9"/>
      <c r="V154" s="9"/>
      <c r="W154" s="9"/>
      <c r="X154" s="9"/>
      <c r="Y154" s="9"/>
      <c r="Z154" s="9"/>
      <c r="AA154" s="9"/>
      <c r="AB154" s="9"/>
    </row>
    <row r="155" ht="15.75" customHeight="1">
      <c r="A155" s="50" t="s">
        <v>89</v>
      </c>
      <c r="B155" s="18"/>
      <c r="C155" s="18"/>
      <c r="D155" s="18"/>
      <c r="E155" s="18"/>
      <c r="F155" s="18"/>
      <c r="G155" s="18"/>
      <c r="H155" s="18">
        <v>0.1126108383849058</v>
      </c>
      <c r="I155" s="18">
        <v>0.1063402725053305</v>
      </c>
      <c r="J155" s="18">
        <v>0.1120164688448616</v>
      </c>
      <c r="K155" s="9"/>
      <c r="L155" s="9"/>
      <c r="M155" s="9"/>
      <c r="N155" s="18"/>
      <c r="O155" s="18"/>
      <c r="P155" s="18"/>
      <c r="Q155" s="9"/>
      <c r="R155" s="9"/>
      <c r="S155" s="9"/>
      <c r="T155" s="9"/>
      <c r="U155" s="9"/>
      <c r="V155" s="9"/>
      <c r="W155" s="9"/>
      <c r="X155" s="9"/>
      <c r="Y155" s="9"/>
      <c r="Z155" s="9"/>
      <c r="AA155" s="9"/>
      <c r="AB155" s="9"/>
    </row>
    <row r="156" ht="15.75" customHeight="1">
      <c r="A156" s="50" t="s">
        <v>171</v>
      </c>
      <c r="B156" s="101"/>
      <c r="C156" s="101"/>
      <c r="D156" s="101"/>
      <c r="E156" s="101"/>
      <c r="F156" s="101"/>
      <c r="G156" s="101"/>
      <c r="H156" s="101"/>
      <c r="I156" s="101">
        <v>0.3156342182890856</v>
      </c>
      <c r="J156" s="101"/>
      <c r="K156" s="9"/>
      <c r="L156" s="9"/>
      <c r="M156" s="9"/>
      <c r="N156" s="101"/>
      <c r="O156" s="101"/>
      <c r="P156" s="101"/>
      <c r="Q156" s="9"/>
      <c r="R156" s="9"/>
      <c r="S156" s="9"/>
      <c r="T156" s="9"/>
      <c r="U156" s="9"/>
      <c r="V156" s="9"/>
      <c r="W156" s="9"/>
      <c r="X156" s="9"/>
      <c r="Y156" s="9"/>
      <c r="Z156" s="9"/>
      <c r="AA156" s="9"/>
      <c r="AB156" s="9"/>
    </row>
    <row r="157" ht="15.75" customHeight="1">
      <c r="A157" s="50" t="s">
        <v>172</v>
      </c>
      <c r="B157" s="18"/>
      <c r="C157" s="18"/>
      <c r="D157" s="18"/>
      <c r="E157" s="18"/>
      <c r="F157" s="18"/>
      <c r="G157" s="18"/>
      <c r="H157" s="18"/>
      <c r="I157" s="18"/>
      <c r="J157" s="18"/>
      <c r="K157" s="9"/>
      <c r="L157" s="9"/>
      <c r="M157" s="9"/>
      <c r="N157" s="18"/>
      <c r="O157" s="18"/>
      <c r="P157" s="18"/>
      <c r="Q157" s="9"/>
      <c r="R157" s="9"/>
      <c r="S157" s="9"/>
      <c r="T157" s="9"/>
      <c r="U157" s="9"/>
      <c r="V157" s="9"/>
      <c r="W157" s="9"/>
      <c r="X157" s="9"/>
      <c r="Y157" s="9"/>
      <c r="Z157" s="9"/>
      <c r="AA157" s="9"/>
      <c r="AB157" s="9"/>
    </row>
    <row r="158" ht="15.75" customHeight="1">
      <c r="A158" s="50" t="s">
        <v>173</v>
      </c>
      <c r="B158" s="18"/>
      <c r="C158" s="18"/>
      <c r="D158" s="18"/>
      <c r="E158" s="18"/>
      <c r="F158" s="18"/>
      <c r="G158" s="18"/>
      <c r="H158" s="18"/>
      <c r="I158" s="18"/>
      <c r="J158" s="18"/>
      <c r="K158" s="9"/>
      <c r="L158" s="9"/>
      <c r="M158" s="9"/>
      <c r="N158" s="18"/>
      <c r="O158" s="18"/>
      <c r="P158" s="18"/>
      <c r="Q158" s="9"/>
      <c r="R158" s="9"/>
      <c r="S158" s="9"/>
      <c r="T158" s="9"/>
      <c r="U158" s="9"/>
      <c r="V158" s="9"/>
      <c r="W158" s="9"/>
      <c r="X158" s="9"/>
      <c r="Y158" s="9"/>
      <c r="Z158" s="9"/>
      <c r="AA158" s="9"/>
      <c r="AB158" s="9"/>
    </row>
    <row r="159" ht="15.75" customHeight="1">
      <c r="A159" s="50" t="s">
        <v>174</v>
      </c>
      <c r="B159" s="18"/>
      <c r="C159" s="18"/>
      <c r="D159" s="18"/>
      <c r="E159" s="18"/>
      <c r="F159" s="18"/>
      <c r="G159" s="18"/>
      <c r="H159" s="18"/>
      <c r="I159" s="18"/>
      <c r="J159" s="18"/>
      <c r="K159" s="9"/>
      <c r="L159" s="9"/>
      <c r="M159" s="9"/>
      <c r="N159" s="18"/>
      <c r="O159" s="18"/>
      <c r="P159" s="18"/>
      <c r="Q159" s="9"/>
      <c r="R159" s="9"/>
      <c r="S159" s="9"/>
      <c r="T159" s="9"/>
      <c r="U159" s="9"/>
      <c r="V159" s="9"/>
      <c r="W159" s="9"/>
      <c r="X159" s="9"/>
      <c r="Y159" s="9"/>
      <c r="Z159" s="9"/>
      <c r="AA159" s="9"/>
      <c r="AB159" s="9"/>
    </row>
    <row r="160" ht="15.75" customHeight="1">
      <c r="A160" s="50" t="s">
        <v>175</v>
      </c>
      <c r="B160" s="101"/>
      <c r="C160" s="101"/>
      <c r="D160" s="101"/>
      <c r="E160" s="101"/>
      <c r="F160" s="101"/>
      <c r="G160" s="101"/>
      <c r="H160" s="101"/>
      <c r="I160" s="101"/>
      <c r="J160" s="101"/>
      <c r="K160" s="9"/>
      <c r="L160" s="9"/>
      <c r="M160" s="9"/>
      <c r="N160" s="101"/>
      <c r="O160" s="101"/>
      <c r="P160" s="101"/>
      <c r="Q160" s="9"/>
      <c r="R160" s="9"/>
      <c r="S160" s="9"/>
      <c r="T160" s="9"/>
      <c r="U160" s="9"/>
      <c r="V160" s="9"/>
      <c r="W160" s="9"/>
      <c r="X160" s="9"/>
      <c r="Y160" s="9"/>
      <c r="Z160" s="9"/>
      <c r="AA160" s="9"/>
      <c r="AB160" s="9"/>
    </row>
    <row r="161" ht="15.75" customHeight="1">
      <c r="A161" s="50" t="s">
        <v>176</v>
      </c>
      <c r="B161" s="101"/>
      <c r="C161" s="101"/>
      <c r="D161" s="101"/>
      <c r="E161" s="101"/>
      <c r="F161" s="101"/>
      <c r="G161" s="101"/>
      <c r="H161" s="101"/>
      <c r="I161" s="101"/>
      <c r="J161" s="101"/>
      <c r="K161" s="9"/>
      <c r="L161" s="9"/>
      <c r="M161" s="9"/>
      <c r="N161" s="101"/>
      <c r="O161" s="101"/>
      <c r="P161" s="101"/>
      <c r="Q161" s="9"/>
      <c r="R161" s="9"/>
      <c r="S161" s="9"/>
      <c r="T161" s="9"/>
      <c r="U161" s="9"/>
      <c r="V161" s="9"/>
      <c r="W161" s="9"/>
      <c r="X161" s="9"/>
      <c r="Y161" s="9"/>
      <c r="Z161" s="9"/>
      <c r="AA161" s="9"/>
      <c r="AB161" s="9"/>
    </row>
    <row r="162" ht="15.75" customHeight="1">
      <c r="A162" s="50" t="s">
        <v>177</v>
      </c>
      <c r="B162" s="101"/>
      <c r="C162" s="101"/>
      <c r="D162" s="101"/>
      <c r="E162" s="101"/>
      <c r="F162" s="101"/>
      <c r="G162" s="101"/>
      <c r="H162" s="101"/>
      <c r="I162" s="101"/>
      <c r="J162" s="101"/>
      <c r="K162" s="9"/>
      <c r="L162" s="9"/>
      <c r="M162" s="9"/>
      <c r="N162" s="101"/>
      <c r="O162" s="101"/>
      <c r="P162" s="101"/>
      <c r="Q162" s="9"/>
      <c r="R162" s="9"/>
      <c r="S162" s="9"/>
      <c r="T162" s="9"/>
      <c r="U162" s="9"/>
      <c r="V162" s="9"/>
      <c r="W162" s="9"/>
      <c r="X162" s="9"/>
      <c r="Y162" s="9"/>
      <c r="Z162" s="9"/>
      <c r="AA162" s="9"/>
      <c r="AB162" s="9"/>
    </row>
    <row r="163" ht="15.75" customHeight="1">
      <c r="A163" s="50" t="s">
        <v>178</v>
      </c>
      <c r="B163" s="101"/>
      <c r="C163" s="101"/>
      <c r="D163" s="101"/>
      <c r="E163" s="101"/>
      <c r="F163" s="101"/>
      <c r="G163" s="101"/>
      <c r="H163" s="101"/>
      <c r="I163" s="101"/>
      <c r="J163" s="101"/>
      <c r="K163" s="9"/>
      <c r="L163" s="9"/>
      <c r="M163" s="9"/>
      <c r="N163" s="101"/>
      <c r="O163" s="101"/>
      <c r="P163" s="101"/>
      <c r="Q163" s="9"/>
      <c r="R163" s="9"/>
      <c r="S163" s="9"/>
      <c r="T163" s="9"/>
      <c r="U163" s="9"/>
      <c r="V163" s="9"/>
      <c r="W163" s="9"/>
      <c r="X163" s="9"/>
      <c r="Y163" s="9"/>
      <c r="Z163" s="9"/>
      <c r="AA163" s="9"/>
      <c r="AB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5.75" customHeight="1">
      <c r="A165" s="51" t="s">
        <v>179</v>
      </c>
      <c r="B165" s="51" t="s">
        <v>108</v>
      </c>
      <c r="C165" s="51" t="s">
        <v>109</v>
      </c>
      <c r="D165" s="51" t="s">
        <v>110</v>
      </c>
      <c r="E165" s="51" t="s">
        <v>111</v>
      </c>
      <c r="F165" s="51" t="s">
        <v>112</v>
      </c>
      <c r="G165" s="51" t="s">
        <v>113</v>
      </c>
      <c r="H165" s="51" t="s">
        <v>114</v>
      </c>
      <c r="I165" s="51" t="s">
        <v>115</v>
      </c>
      <c r="J165" s="51" t="s">
        <v>116</v>
      </c>
      <c r="K165" s="9"/>
      <c r="L165" s="9"/>
      <c r="M165" s="9"/>
      <c r="N165" s="51" t="s">
        <v>117</v>
      </c>
      <c r="O165" s="51" t="s">
        <v>118</v>
      </c>
      <c r="P165" s="51" t="s">
        <v>119</v>
      </c>
      <c r="Q165" s="9"/>
      <c r="R165" s="9"/>
      <c r="S165" s="9"/>
      <c r="T165" s="9"/>
      <c r="U165" s="9"/>
      <c r="V165" s="9"/>
      <c r="W165" s="9"/>
      <c r="X165" s="9"/>
      <c r="Y165" s="9"/>
      <c r="Z165" s="9"/>
      <c r="AA165" s="9"/>
      <c r="AB165" s="9"/>
    </row>
    <row r="166" ht="15.75" customHeight="1">
      <c r="A166" s="50" t="s">
        <v>85</v>
      </c>
      <c r="B166" s="18"/>
      <c r="C166" s="18"/>
      <c r="D166" s="18"/>
      <c r="E166" s="18"/>
      <c r="F166" s="18"/>
      <c r="G166" s="18"/>
      <c r="H166" s="18">
        <v>1.0</v>
      </c>
      <c r="I166" s="18">
        <v>1.0</v>
      </c>
      <c r="J166" s="18">
        <v>1.0</v>
      </c>
      <c r="K166" s="9"/>
      <c r="L166" s="9"/>
      <c r="M166" s="9"/>
      <c r="N166" s="18"/>
      <c r="O166" s="18"/>
      <c r="P166" s="18"/>
      <c r="Q166" s="9"/>
      <c r="R166" s="9"/>
      <c r="S166" s="9"/>
      <c r="T166" s="9"/>
      <c r="U166" s="9"/>
      <c r="V166" s="9"/>
      <c r="W166" s="9"/>
      <c r="X166" s="9"/>
      <c r="Y166" s="9"/>
      <c r="Z166" s="9"/>
      <c r="AA166" s="9"/>
      <c r="AB166" s="9"/>
    </row>
    <row r="167" ht="15.75" customHeight="1">
      <c r="A167" s="50" t="s">
        <v>121</v>
      </c>
      <c r="B167" s="18"/>
      <c r="C167" s="18"/>
      <c r="D167" s="18"/>
      <c r="E167" s="18"/>
      <c r="F167" s="18"/>
      <c r="G167" s="18"/>
      <c r="H167" s="18">
        <v>0.009139263286996564</v>
      </c>
      <c r="I167" s="18">
        <v>5.478293682004374E-4</v>
      </c>
      <c r="J167" s="18">
        <v>0.001254045888638262</v>
      </c>
      <c r="K167" s="9"/>
      <c r="L167" s="9"/>
      <c r="M167" s="9"/>
      <c r="N167" s="18"/>
      <c r="O167" s="18"/>
      <c r="P167" s="18"/>
      <c r="Q167" s="9"/>
      <c r="R167" s="9"/>
      <c r="S167" s="9"/>
      <c r="T167" s="9"/>
      <c r="U167" s="9"/>
      <c r="V167" s="9"/>
      <c r="W167" s="9"/>
      <c r="X167" s="9"/>
      <c r="Y167" s="9"/>
      <c r="Z167" s="9"/>
      <c r="AA167" s="9"/>
      <c r="AB167" s="9"/>
    </row>
    <row r="168" ht="15.75" customHeight="1">
      <c r="A168" s="50" t="s">
        <v>127</v>
      </c>
      <c r="B168" s="18"/>
      <c r="C168" s="18"/>
      <c r="D168" s="18"/>
      <c r="E168" s="18"/>
      <c r="F168" s="18"/>
      <c r="G168" s="18"/>
      <c r="H168" s="18">
        <v>1.009139263286997</v>
      </c>
      <c r="I168" s="18">
        <v>1.0005478293682</v>
      </c>
      <c r="J168" s="18">
        <v>1.001254045888638</v>
      </c>
      <c r="K168" s="9"/>
      <c r="L168" s="9"/>
      <c r="M168" s="9"/>
      <c r="N168" s="18"/>
      <c r="O168" s="18"/>
      <c r="P168" s="18"/>
      <c r="Q168" s="9"/>
      <c r="R168" s="9"/>
      <c r="S168" s="9"/>
      <c r="T168" s="9"/>
      <c r="U168" s="9"/>
      <c r="V168" s="9"/>
      <c r="W168" s="9"/>
      <c r="X168" s="9"/>
      <c r="Y168" s="9"/>
      <c r="Z168" s="9"/>
      <c r="AA168" s="9"/>
      <c r="AB168" s="9"/>
    </row>
    <row r="169" ht="15.75" customHeight="1">
      <c r="A169" s="50" t="s">
        <v>131</v>
      </c>
      <c r="B169" s="18"/>
      <c r="C169" s="18"/>
      <c r="D169" s="18"/>
      <c r="E169" s="18"/>
      <c r="F169" s="18"/>
      <c r="G169" s="18"/>
      <c r="H169" s="18">
        <v>0.0</v>
      </c>
      <c r="I169" s="18">
        <v>0.0</v>
      </c>
      <c r="J169" s="18">
        <v>0.0</v>
      </c>
      <c r="K169" s="9"/>
      <c r="L169" s="9"/>
      <c r="M169" s="9"/>
      <c r="N169" s="18"/>
      <c r="O169" s="18"/>
      <c r="P169" s="18"/>
      <c r="Q169" s="9"/>
      <c r="R169" s="9"/>
      <c r="S169" s="9"/>
      <c r="T169" s="9"/>
      <c r="U169" s="9"/>
      <c r="V169" s="9"/>
      <c r="W169" s="9"/>
      <c r="X169" s="9"/>
      <c r="Y169" s="9"/>
      <c r="Z169" s="9"/>
      <c r="AA169" s="9"/>
      <c r="AB169" s="9"/>
    </row>
    <row r="170" ht="15.75" customHeight="1">
      <c r="A170" s="50" t="s">
        <v>133</v>
      </c>
      <c r="B170" s="18"/>
      <c r="C170" s="18"/>
      <c r="D170" s="18"/>
      <c r="E170" s="18"/>
      <c r="F170" s="18"/>
      <c r="G170" s="18"/>
      <c r="H170" s="18">
        <v>0.9927084434111804</v>
      </c>
      <c r="I170" s="18">
        <v>0.4909414936419969</v>
      </c>
      <c r="J170" s="18">
        <v>1.343440272729325</v>
      </c>
      <c r="K170" s="9"/>
      <c r="L170" s="9"/>
      <c r="M170" s="9"/>
      <c r="N170" s="18"/>
      <c r="O170" s="18"/>
      <c r="P170" s="18"/>
      <c r="Q170" s="9"/>
      <c r="R170" s="9"/>
      <c r="S170" s="9"/>
      <c r="T170" s="9"/>
      <c r="U170" s="9"/>
      <c r="V170" s="9"/>
      <c r="W170" s="9"/>
      <c r="X170" s="9"/>
      <c r="Y170" s="9"/>
      <c r="Z170" s="9"/>
      <c r="AA170" s="9"/>
      <c r="AB170" s="9"/>
    </row>
    <row r="171" ht="15.75" customHeight="1">
      <c r="A171" s="50" t="s">
        <v>134</v>
      </c>
      <c r="B171" s="18"/>
      <c r="C171" s="18"/>
      <c r="D171" s="18"/>
      <c r="E171" s="18"/>
      <c r="F171" s="18"/>
      <c r="G171" s="18"/>
      <c r="H171" s="18">
        <v>-0.2063123040614323</v>
      </c>
      <c r="I171" s="18">
        <v>0.3098031905946108</v>
      </c>
      <c r="J171" s="18">
        <v>-0.5514025405204599</v>
      </c>
      <c r="K171" s="9"/>
      <c r="L171" s="9"/>
      <c r="M171" s="9"/>
      <c r="N171" s="18"/>
      <c r="O171" s="18"/>
      <c r="P171" s="18"/>
      <c r="Q171" s="9"/>
      <c r="R171" s="9"/>
      <c r="S171" s="9"/>
      <c r="T171" s="9"/>
      <c r="U171" s="9"/>
      <c r="V171" s="9"/>
      <c r="W171" s="9"/>
      <c r="X171" s="9"/>
      <c r="Y171" s="9"/>
      <c r="Z171" s="9"/>
      <c r="AA171" s="9"/>
      <c r="AB171" s="9"/>
    </row>
    <row r="172" ht="15.75" customHeight="1">
      <c r="A172" s="50" t="s">
        <v>136</v>
      </c>
      <c r="B172" s="18"/>
      <c r="C172" s="18"/>
      <c r="D172" s="18"/>
      <c r="E172" s="18"/>
      <c r="F172" s="18"/>
      <c r="G172" s="18"/>
      <c r="H172" s="18">
        <v>0.07138488338953307</v>
      </c>
      <c r="I172" s="18">
        <v>0.05088675616819498</v>
      </c>
      <c r="J172" s="18">
        <v>0.05525190723754831</v>
      </c>
      <c r="K172" s="9"/>
      <c r="L172" s="9"/>
      <c r="M172" s="9"/>
      <c r="N172" s="18"/>
      <c r="O172" s="18"/>
      <c r="P172" s="18"/>
      <c r="Q172" s="9"/>
      <c r="R172" s="9"/>
      <c r="S172" s="9"/>
      <c r="T172" s="9"/>
      <c r="U172" s="9"/>
      <c r="V172" s="9"/>
      <c r="W172" s="9"/>
      <c r="X172" s="9"/>
      <c r="Y172" s="9"/>
      <c r="Z172" s="9"/>
      <c r="AA172" s="9"/>
      <c r="AB172" s="9"/>
    </row>
    <row r="173" ht="15.75" customHeight="1">
      <c r="A173" s="50" t="s">
        <v>138</v>
      </c>
      <c r="B173" s="18"/>
      <c r="C173" s="18"/>
      <c r="D173" s="18"/>
      <c r="E173" s="18"/>
      <c r="F173" s="18"/>
      <c r="G173" s="18"/>
      <c r="H173" s="18">
        <v>0.03412333202040483</v>
      </c>
      <c r="I173" s="18">
        <v>0.01918084733973149</v>
      </c>
      <c r="J173" s="18">
        <v>0.0183899364356773</v>
      </c>
      <c r="K173" s="9"/>
      <c r="L173" s="9"/>
      <c r="M173" s="9"/>
      <c r="N173" s="18"/>
      <c r="O173" s="18"/>
      <c r="P173" s="18"/>
      <c r="Q173" s="9"/>
      <c r="R173" s="9"/>
      <c r="S173" s="9"/>
      <c r="T173" s="9"/>
      <c r="U173" s="9"/>
      <c r="V173" s="9"/>
      <c r="W173" s="9"/>
      <c r="X173" s="9"/>
      <c r="Y173" s="9"/>
      <c r="Z173" s="9"/>
      <c r="AA173" s="9"/>
      <c r="AB173" s="9"/>
    </row>
    <row r="174" ht="15.75" customHeight="1">
      <c r="A174" s="50" t="s">
        <v>140</v>
      </c>
      <c r="B174" s="18"/>
      <c r="C174" s="18"/>
      <c r="D174" s="18"/>
      <c r="E174" s="18"/>
      <c r="F174" s="18"/>
      <c r="G174" s="18"/>
      <c r="H174" s="18">
        <v>0.006532619868771195</v>
      </c>
      <c r="I174" s="18">
        <v>0.005055487613600715</v>
      </c>
      <c r="J174" s="18">
        <v>0.005835110411454304</v>
      </c>
      <c r="K174" s="9"/>
      <c r="L174" s="9"/>
      <c r="M174" s="9"/>
      <c r="N174" s="18"/>
      <c r="O174" s="18"/>
      <c r="P174" s="18"/>
      <c r="Q174" s="9"/>
      <c r="R174" s="9"/>
      <c r="S174" s="9"/>
      <c r="T174" s="9"/>
      <c r="U174" s="9"/>
      <c r="V174" s="9"/>
      <c r="W174" s="9"/>
      <c r="X174" s="9"/>
      <c r="Y174" s="9"/>
      <c r="Z174" s="9"/>
      <c r="AA174" s="9"/>
      <c r="AB174" s="9"/>
    </row>
    <row r="175" ht="15.75" customHeight="1">
      <c r="A175" s="50" t="s">
        <v>141</v>
      </c>
      <c r="B175" s="18"/>
      <c r="C175" s="18"/>
      <c r="D175" s="18"/>
      <c r="E175" s="18"/>
      <c r="F175" s="18"/>
      <c r="G175" s="18"/>
      <c r="H175" s="18">
        <v>0.03874740216280954</v>
      </c>
      <c r="I175" s="18">
        <v>0.04257611645806719</v>
      </c>
      <c r="J175" s="18">
        <v>0.04194793759736302</v>
      </c>
      <c r="K175" s="9"/>
      <c r="L175" s="9"/>
      <c r="M175" s="9"/>
      <c r="N175" s="18"/>
      <c r="O175" s="18"/>
      <c r="P175" s="18"/>
      <c r="Q175" s="9"/>
      <c r="R175" s="9"/>
      <c r="S175" s="9"/>
      <c r="T175" s="9"/>
      <c r="U175" s="9"/>
      <c r="V175" s="9"/>
      <c r="W175" s="9"/>
      <c r="X175" s="9"/>
      <c r="Y175" s="9"/>
      <c r="Z175" s="9"/>
      <c r="AA175" s="9"/>
      <c r="AB175" s="9"/>
    </row>
    <row r="176" ht="15.75" customHeight="1">
      <c r="A176" s="50" t="s">
        <v>142</v>
      </c>
      <c r="B176" s="18"/>
      <c r="C176" s="18"/>
      <c r="D176" s="18"/>
      <c r="E176" s="18"/>
      <c r="F176" s="18"/>
      <c r="G176" s="18"/>
      <c r="H176" s="18">
        <v>0.9371843767912669</v>
      </c>
      <c r="I176" s="18">
        <v>0.9184438918162021</v>
      </c>
      <c r="J176" s="18">
        <v>0.9134626238909084</v>
      </c>
      <c r="K176" s="9"/>
      <c r="L176" s="9"/>
      <c r="M176" s="9"/>
      <c r="N176" s="18"/>
      <c r="O176" s="18"/>
      <c r="P176" s="18"/>
      <c r="Q176" s="9"/>
      <c r="R176" s="9"/>
      <c r="S176" s="9"/>
      <c r="T176" s="9"/>
      <c r="U176" s="9"/>
      <c r="V176" s="9"/>
      <c r="W176" s="9"/>
      <c r="X176" s="9"/>
      <c r="Y176" s="9"/>
      <c r="Z176" s="9"/>
      <c r="AA176" s="9"/>
      <c r="AB176" s="9"/>
    </row>
    <row r="177" ht="15.75" customHeight="1">
      <c r="A177" s="50" t="s">
        <v>143</v>
      </c>
      <c r="B177" s="18"/>
      <c r="C177" s="18"/>
      <c r="D177" s="18"/>
      <c r="E177" s="18"/>
      <c r="F177" s="18"/>
      <c r="G177" s="18"/>
      <c r="H177" s="18">
        <v>0.07195488649572977</v>
      </c>
      <c r="I177" s="18">
        <v>0.08210393755199832</v>
      </c>
      <c r="J177" s="18">
        <v>0.08779142199773</v>
      </c>
      <c r="K177" s="9"/>
      <c r="L177" s="9"/>
      <c r="M177" s="9"/>
      <c r="N177" s="18"/>
      <c r="O177" s="18"/>
      <c r="P177" s="18"/>
      <c r="Q177" s="9"/>
      <c r="R177" s="9"/>
      <c r="S177" s="9"/>
      <c r="T177" s="9"/>
      <c r="U177" s="9"/>
      <c r="V177" s="9"/>
      <c r="W177" s="9"/>
      <c r="X177" s="9"/>
      <c r="Y177" s="9"/>
      <c r="Z177" s="9"/>
      <c r="AA177" s="9"/>
      <c r="AB177" s="9"/>
    </row>
    <row r="178" ht="15.75" customHeight="1">
      <c r="A178" s="50" t="s">
        <v>147</v>
      </c>
      <c r="B178" s="18"/>
      <c r="C178" s="18"/>
      <c r="D178" s="18"/>
      <c r="E178" s="18"/>
      <c r="F178" s="18"/>
      <c r="G178" s="18"/>
      <c r="H178" s="18">
        <v>0.0126489453341403</v>
      </c>
      <c r="I178" s="18">
        <v>0.007860555830859386</v>
      </c>
      <c r="J178" s="18">
        <v>0.008388356050514858</v>
      </c>
      <c r="K178" s="9"/>
      <c r="L178" s="9"/>
      <c r="M178" s="9"/>
      <c r="N178" s="18"/>
      <c r="O178" s="18"/>
      <c r="P178" s="18"/>
      <c r="Q178" s="9"/>
      <c r="R178" s="9"/>
      <c r="S178" s="9"/>
      <c r="T178" s="9"/>
      <c r="U178" s="9"/>
      <c r="V178" s="9"/>
      <c r="W178" s="9"/>
      <c r="X178" s="9"/>
      <c r="Y178" s="9"/>
      <c r="Z178" s="9"/>
      <c r="AA178" s="9"/>
      <c r="AB178" s="9"/>
    </row>
    <row r="179" ht="15.75" customHeight="1">
      <c r="A179" s="50" t="s">
        <v>149</v>
      </c>
      <c r="B179" s="18"/>
      <c r="C179" s="18"/>
      <c r="D179" s="18"/>
      <c r="E179" s="18"/>
      <c r="F179" s="18"/>
      <c r="G179" s="18"/>
      <c r="H179" s="18">
        <v>0.05930594116158947</v>
      </c>
      <c r="I179" s="18">
        <v>0.07424338172113894</v>
      </c>
      <c r="J179" s="18">
        <v>0.07940306594721515</v>
      </c>
      <c r="K179" s="9"/>
      <c r="L179" s="9"/>
      <c r="M179" s="9"/>
      <c r="N179" s="18"/>
      <c r="O179" s="18"/>
      <c r="P179" s="18"/>
      <c r="Q179" s="9"/>
      <c r="R179" s="9"/>
      <c r="S179" s="9"/>
      <c r="T179" s="9"/>
      <c r="U179" s="9"/>
      <c r="V179" s="9"/>
      <c r="W179" s="9"/>
      <c r="X179" s="9"/>
      <c r="Y179" s="9"/>
      <c r="Z179" s="9"/>
      <c r="AA179" s="9"/>
      <c r="AB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5.75" customHeight="1">
      <c r="A183" s="50" t="s">
        <v>182</v>
      </c>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5.75" customHeight="1">
      <c r="A184" s="51" t="s">
        <v>107</v>
      </c>
      <c r="B184" s="51" t="s">
        <v>108</v>
      </c>
      <c r="C184" s="51" t="s">
        <v>109</v>
      </c>
      <c r="D184" s="51" t="s">
        <v>110</v>
      </c>
      <c r="E184" s="51" t="s">
        <v>111</v>
      </c>
      <c r="F184" s="51" t="s">
        <v>112</v>
      </c>
      <c r="G184" s="51" t="s">
        <v>113</v>
      </c>
      <c r="H184" s="51" t="s">
        <v>114</v>
      </c>
      <c r="I184" s="51" t="s">
        <v>115</v>
      </c>
      <c r="J184" s="51" t="s">
        <v>116</v>
      </c>
      <c r="K184" s="9"/>
      <c r="L184" s="9"/>
      <c r="M184" s="9"/>
      <c r="N184" s="51" t="s">
        <v>117</v>
      </c>
      <c r="O184" s="51" t="s">
        <v>118</v>
      </c>
      <c r="P184" s="51" t="s">
        <v>119</v>
      </c>
      <c r="Q184" s="9"/>
      <c r="R184" s="9"/>
      <c r="S184" s="9"/>
      <c r="T184" s="9"/>
      <c r="U184" s="9"/>
      <c r="V184" s="9"/>
      <c r="W184" s="9"/>
      <c r="X184" s="9"/>
      <c r="Y184" s="9"/>
      <c r="Z184" s="9"/>
      <c r="AA184" s="9"/>
      <c r="AB184" s="9"/>
    </row>
    <row r="185" ht="15.75" customHeight="1">
      <c r="A185" s="50" t="s">
        <v>84</v>
      </c>
      <c r="B185" s="52"/>
      <c r="C185" s="52">
        <v>3264.021102255249</v>
      </c>
      <c r="D185" s="52"/>
      <c r="E185" s="52"/>
      <c r="F185" s="52"/>
      <c r="G185" s="52">
        <v>1775.881713063812</v>
      </c>
      <c r="H185" s="52"/>
      <c r="I185" s="52"/>
      <c r="J185" s="52"/>
      <c r="K185" s="9"/>
      <c r="L185" s="9"/>
      <c r="M185" s="9"/>
      <c r="N185" s="52"/>
      <c r="O185" s="52"/>
      <c r="P185" s="52"/>
      <c r="Q185" s="9"/>
      <c r="R185" s="9"/>
      <c r="S185" s="9"/>
      <c r="T185" s="9"/>
      <c r="U185" s="9"/>
      <c r="V185" s="9"/>
      <c r="W185" s="9"/>
      <c r="X185" s="9"/>
      <c r="Y185" s="9"/>
      <c r="Z185" s="9"/>
      <c r="AA185" s="9"/>
      <c r="AB185" s="9"/>
    </row>
    <row r="186" ht="15.75" customHeight="1">
      <c r="A186" s="50" t="s">
        <v>85</v>
      </c>
      <c r="B186" s="52"/>
      <c r="C186" s="52">
        <v>355.777</v>
      </c>
      <c r="D186" s="52"/>
      <c r="E186" s="52"/>
      <c r="F186" s="52"/>
      <c r="G186" s="52">
        <v>319.321</v>
      </c>
      <c r="H186" s="52"/>
      <c r="I186" s="52"/>
      <c r="J186" s="52"/>
      <c r="K186" s="9"/>
      <c r="L186" s="9"/>
      <c r="M186" s="9"/>
      <c r="N186" s="52"/>
      <c r="O186" s="52"/>
      <c r="P186" s="52"/>
      <c r="Q186" s="9"/>
      <c r="R186" s="9"/>
      <c r="S186" s="9"/>
      <c r="T186" s="9"/>
      <c r="U186" s="9"/>
      <c r="V186" s="9"/>
      <c r="W186" s="9"/>
      <c r="X186" s="9"/>
      <c r="Y186" s="9"/>
      <c r="Z186" s="9"/>
      <c r="AA186" s="9"/>
      <c r="AB186" s="9"/>
    </row>
    <row r="187" ht="15.75" customHeight="1">
      <c r="A187" s="50" t="s">
        <v>121</v>
      </c>
      <c r="B187" s="52"/>
      <c r="C187" s="52">
        <v>0.56</v>
      </c>
      <c r="D187" s="52"/>
      <c r="E187" s="52"/>
      <c r="F187" s="52"/>
      <c r="G187" s="52">
        <v>6.452</v>
      </c>
      <c r="H187" s="52"/>
      <c r="I187" s="52"/>
      <c r="J187" s="52"/>
      <c r="K187" s="9"/>
      <c r="L187" s="9"/>
      <c r="M187" s="9"/>
      <c r="N187" s="52"/>
      <c r="O187" s="52"/>
      <c r="P187" s="52"/>
      <c r="Q187" s="9"/>
      <c r="R187" s="9"/>
      <c r="S187" s="9"/>
      <c r="T187" s="9"/>
      <c r="U187" s="9"/>
      <c r="V187" s="9"/>
      <c r="W187" s="9"/>
      <c r="X187" s="9"/>
      <c r="Y187" s="9"/>
      <c r="Z187" s="9"/>
      <c r="AA187" s="9"/>
      <c r="AB187" s="9"/>
    </row>
    <row r="188" ht="15.75" customHeight="1">
      <c r="A188" s="50" t="s">
        <v>127</v>
      </c>
      <c r="B188" s="52"/>
      <c r="C188" s="52"/>
      <c r="D188" s="52"/>
      <c r="E188" s="52"/>
      <c r="F188" s="52"/>
      <c r="G188" s="52">
        <v>325.773</v>
      </c>
      <c r="H188" s="52"/>
      <c r="I188" s="52"/>
      <c r="J188" s="52"/>
      <c r="K188" s="9"/>
      <c r="L188" s="9"/>
      <c r="M188" s="9"/>
      <c r="N188" s="52"/>
      <c r="O188" s="52"/>
      <c r="P188" s="52"/>
      <c r="Q188" s="9"/>
      <c r="R188" s="9"/>
      <c r="S188" s="9"/>
      <c r="T188" s="9"/>
      <c r="U188" s="9"/>
      <c r="V188" s="9"/>
      <c r="W188" s="9"/>
      <c r="X188" s="9"/>
      <c r="Y188" s="9"/>
      <c r="Z188" s="9"/>
      <c r="AA188" s="9"/>
      <c r="AB188" s="9"/>
    </row>
    <row r="189" ht="15.75" customHeight="1">
      <c r="A189" s="50" t="s">
        <v>131</v>
      </c>
      <c r="B189" s="52"/>
      <c r="C189" s="52">
        <v>183.263</v>
      </c>
      <c r="D189" s="52"/>
      <c r="E189" s="52"/>
      <c r="F189" s="52"/>
      <c r="G189" s="52">
        <v>0.0</v>
      </c>
      <c r="H189" s="52"/>
      <c r="I189" s="52"/>
      <c r="J189" s="52"/>
      <c r="K189" s="9"/>
      <c r="L189" s="9"/>
      <c r="M189" s="9"/>
      <c r="N189" s="52"/>
      <c r="O189" s="52"/>
      <c r="P189" s="52"/>
      <c r="Q189" s="9"/>
      <c r="R189" s="9"/>
      <c r="S189" s="9"/>
      <c r="T189" s="9"/>
      <c r="U189" s="9"/>
      <c r="V189" s="9"/>
      <c r="W189" s="9"/>
      <c r="X189" s="9"/>
      <c r="Y189" s="9"/>
      <c r="Z189" s="9"/>
      <c r="AA189" s="9"/>
      <c r="AB189" s="9"/>
    </row>
    <row r="190" ht="15.75" customHeight="1">
      <c r="A190" s="50" t="s">
        <v>133</v>
      </c>
      <c r="B190" s="52"/>
      <c r="C190" s="52">
        <v>0.0</v>
      </c>
      <c r="D190" s="52"/>
      <c r="E190" s="52"/>
      <c r="F190" s="52"/>
      <c r="G190" s="52">
        <v>240.282</v>
      </c>
      <c r="H190" s="52"/>
      <c r="I190" s="52"/>
      <c r="J190" s="52"/>
      <c r="K190" s="9"/>
      <c r="L190" s="9"/>
      <c r="M190" s="9"/>
      <c r="N190" s="52"/>
      <c r="O190" s="52"/>
      <c r="P190" s="52"/>
      <c r="Q190" s="9"/>
      <c r="R190" s="9"/>
      <c r="S190" s="9"/>
      <c r="T190" s="9"/>
      <c r="U190" s="9"/>
      <c r="V190" s="9"/>
      <c r="W190" s="9"/>
      <c r="X190" s="9"/>
      <c r="Y190" s="9"/>
      <c r="Z190" s="9"/>
      <c r="AA190" s="9"/>
      <c r="AB190" s="9"/>
    </row>
    <row r="191" ht="15.75" customHeight="1">
      <c r="A191" s="50" t="s">
        <v>134</v>
      </c>
      <c r="B191" s="52"/>
      <c r="C191" s="52">
        <v>0.0</v>
      </c>
      <c r="D191" s="52"/>
      <c r="E191" s="52"/>
      <c r="F191" s="52"/>
      <c r="G191" s="52">
        <v>0.0</v>
      </c>
      <c r="H191" s="52"/>
      <c r="I191" s="52"/>
      <c r="J191" s="52"/>
      <c r="K191" s="9"/>
      <c r="L191" s="9"/>
      <c r="M191" s="9"/>
      <c r="N191" s="52"/>
      <c r="O191" s="52"/>
      <c r="P191" s="52"/>
      <c r="Q191" s="9"/>
      <c r="R191" s="9"/>
      <c r="S191" s="9"/>
      <c r="T191" s="9"/>
      <c r="U191" s="9"/>
      <c r="V191" s="9"/>
      <c r="W191" s="9"/>
      <c r="X191" s="9"/>
      <c r="Y191" s="9"/>
      <c r="Z191" s="9"/>
      <c r="AA191" s="9"/>
      <c r="AB191" s="9"/>
    </row>
    <row r="192" ht="15.75" customHeight="1">
      <c r="A192" s="50" t="s">
        <v>136</v>
      </c>
      <c r="B192" s="52"/>
      <c r="C192" s="52">
        <v>73.823</v>
      </c>
      <c r="D192" s="52"/>
      <c r="E192" s="52"/>
      <c r="F192" s="52"/>
      <c r="G192" s="52">
        <v>77.45</v>
      </c>
      <c r="H192" s="52"/>
      <c r="I192" s="52"/>
      <c r="J192" s="52"/>
      <c r="K192" s="9"/>
      <c r="L192" s="9"/>
      <c r="M192" s="9"/>
      <c r="N192" s="52"/>
      <c r="O192" s="52"/>
      <c r="P192" s="52"/>
      <c r="Q192" s="9"/>
      <c r="R192" s="9"/>
      <c r="S192" s="9"/>
      <c r="T192" s="9"/>
      <c r="U192" s="9"/>
      <c r="V192" s="9"/>
      <c r="W192" s="9"/>
      <c r="X192" s="9"/>
      <c r="Y192" s="9"/>
      <c r="Z192" s="9"/>
      <c r="AA192" s="9"/>
      <c r="AB192" s="9"/>
    </row>
    <row r="193" ht="15.75" customHeight="1">
      <c r="A193" s="50" t="s">
        <v>138</v>
      </c>
      <c r="B193" s="52"/>
      <c r="C193" s="52">
        <v>0.674</v>
      </c>
      <c r="D193" s="52"/>
      <c r="E193" s="52"/>
      <c r="F193" s="52"/>
      <c r="G193" s="52">
        <v>6.399</v>
      </c>
      <c r="H193" s="52"/>
      <c r="I193" s="52"/>
      <c r="J193" s="52"/>
      <c r="K193" s="9"/>
      <c r="L193" s="9"/>
      <c r="M193" s="9"/>
      <c r="N193" s="52"/>
      <c r="O193" s="52"/>
      <c r="P193" s="52"/>
      <c r="Q193" s="9"/>
      <c r="R193" s="9"/>
      <c r="S193" s="9"/>
      <c r="T193" s="9"/>
      <c r="U193" s="9"/>
      <c r="V193" s="9"/>
      <c r="W193" s="9"/>
      <c r="X193" s="9"/>
      <c r="Y193" s="9"/>
      <c r="Z193" s="9"/>
      <c r="AA193" s="9"/>
      <c r="AB193" s="9"/>
    </row>
    <row r="194" ht="15.75" customHeight="1">
      <c r="A194" s="50" t="s">
        <v>140</v>
      </c>
      <c r="B194" s="52"/>
      <c r="C194" s="52">
        <v>5.857</v>
      </c>
      <c r="D194" s="52"/>
      <c r="E194" s="52"/>
      <c r="F194" s="52"/>
      <c r="G194" s="52">
        <v>9.651</v>
      </c>
      <c r="H194" s="52"/>
      <c r="I194" s="52"/>
      <c r="J194" s="52"/>
      <c r="K194" s="9"/>
      <c r="L194" s="9"/>
      <c r="M194" s="9"/>
      <c r="N194" s="52"/>
      <c r="O194" s="52"/>
      <c r="P194" s="52"/>
      <c r="Q194" s="9"/>
      <c r="R194" s="9"/>
      <c r="S194" s="9"/>
      <c r="T194" s="9"/>
      <c r="U194" s="9"/>
      <c r="V194" s="9"/>
      <c r="W194" s="9"/>
      <c r="X194" s="9"/>
      <c r="Y194" s="9"/>
      <c r="Z194" s="9"/>
      <c r="AA194" s="9"/>
      <c r="AB194" s="9"/>
    </row>
    <row r="195" ht="15.75" customHeight="1">
      <c r="A195" s="50" t="s">
        <v>141</v>
      </c>
      <c r="B195" s="52"/>
      <c r="C195" s="52">
        <v>50.593</v>
      </c>
      <c r="D195" s="52"/>
      <c r="E195" s="52"/>
      <c r="F195" s="52"/>
      <c r="G195" s="52">
        <v>45.338</v>
      </c>
      <c r="H195" s="52"/>
      <c r="I195" s="52"/>
      <c r="J195" s="52"/>
      <c r="K195" s="9"/>
      <c r="L195" s="9"/>
      <c r="M195" s="9"/>
      <c r="N195" s="52"/>
      <c r="O195" s="52"/>
      <c r="P195" s="52"/>
      <c r="Q195" s="9"/>
      <c r="R195" s="9"/>
      <c r="S195" s="9"/>
      <c r="T195" s="9"/>
      <c r="U195" s="9"/>
      <c r="V195" s="9"/>
      <c r="W195" s="9"/>
      <c r="X195" s="9"/>
      <c r="Y195" s="9"/>
      <c r="Z195" s="9"/>
      <c r="AA195" s="9"/>
      <c r="AB195" s="9"/>
    </row>
    <row r="196" ht="15.75" customHeight="1">
      <c r="A196" s="50" t="s">
        <v>142</v>
      </c>
      <c r="B196" s="52"/>
      <c r="C196" s="52">
        <v>314.21</v>
      </c>
      <c r="D196" s="52"/>
      <c r="E196" s="52"/>
      <c r="F196" s="52"/>
      <c r="G196" s="52">
        <v>379.12</v>
      </c>
      <c r="H196" s="52"/>
      <c r="I196" s="52"/>
      <c r="J196" s="52"/>
      <c r="K196" s="9"/>
      <c r="L196" s="9"/>
      <c r="M196" s="9"/>
      <c r="N196" s="52"/>
      <c r="O196" s="52"/>
      <c r="P196" s="52"/>
      <c r="Q196" s="9"/>
      <c r="R196" s="9"/>
      <c r="S196" s="9"/>
      <c r="T196" s="9"/>
      <c r="U196" s="9"/>
      <c r="V196" s="9"/>
      <c r="W196" s="9"/>
      <c r="X196" s="9"/>
      <c r="Y196" s="9"/>
      <c r="Z196" s="9"/>
      <c r="AA196" s="9"/>
      <c r="AB196" s="9"/>
    </row>
    <row r="197" ht="15.75" customHeight="1">
      <c r="A197" s="50" t="s">
        <v>143</v>
      </c>
      <c r="B197" s="52"/>
      <c r="C197" s="52">
        <v>42.127</v>
      </c>
      <c r="D197" s="52"/>
      <c r="E197" s="52"/>
      <c r="F197" s="52"/>
      <c r="G197" s="52">
        <v>-53.347</v>
      </c>
      <c r="H197" s="52"/>
      <c r="I197" s="52"/>
      <c r="J197" s="52"/>
      <c r="K197" s="9"/>
      <c r="L197" s="9"/>
      <c r="M197" s="9"/>
      <c r="N197" s="52"/>
      <c r="O197" s="52"/>
      <c r="P197" s="52"/>
      <c r="Q197" s="9"/>
      <c r="R197" s="9"/>
      <c r="S197" s="9"/>
      <c r="T197" s="9"/>
      <c r="U197" s="9"/>
      <c r="V197" s="9"/>
      <c r="W197" s="9"/>
      <c r="X197" s="9"/>
      <c r="Y197" s="9"/>
      <c r="Z197" s="9"/>
      <c r="AA197" s="9"/>
      <c r="AB197" s="9"/>
    </row>
    <row r="198" ht="15.75" customHeight="1">
      <c r="A198" s="50" t="s">
        <v>147</v>
      </c>
      <c r="B198" s="52"/>
      <c r="C198" s="52">
        <v>7.917</v>
      </c>
      <c r="D198" s="52"/>
      <c r="E198" s="52"/>
      <c r="F198" s="52"/>
      <c r="G198" s="52">
        <v>-6.728</v>
      </c>
      <c r="H198" s="52"/>
      <c r="I198" s="52"/>
      <c r="J198" s="52"/>
      <c r="K198" s="9"/>
      <c r="L198" s="9"/>
      <c r="M198" s="9"/>
      <c r="N198" s="52"/>
      <c r="O198" s="52"/>
      <c r="P198" s="52"/>
      <c r="Q198" s="9"/>
      <c r="R198" s="9"/>
      <c r="S198" s="9"/>
      <c r="T198" s="9"/>
      <c r="U198" s="9"/>
      <c r="V198" s="9"/>
      <c r="W198" s="9"/>
      <c r="X198" s="9"/>
      <c r="Y198" s="9"/>
      <c r="Z198" s="9"/>
      <c r="AA198" s="9"/>
      <c r="AB198" s="9"/>
    </row>
    <row r="199" ht="15.75" customHeight="1">
      <c r="A199" s="50" t="s">
        <v>149</v>
      </c>
      <c r="B199" s="52"/>
      <c r="C199" s="52">
        <v>34.21</v>
      </c>
      <c r="D199" s="52"/>
      <c r="E199" s="52"/>
      <c r="F199" s="52"/>
      <c r="G199" s="52">
        <v>-46.619</v>
      </c>
      <c r="H199" s="52"/>
      <c r="I199" s="52"/>
      <c r="J199" s="52"/>
      <c r="K199" s="9"/>
      <c r="L199" s="9"/>
      <c r="M199" s="9"/>
      <c r="N199" s="52"/>
      <c r="O199" s="52"/>
      <c r="P199" s="52"/>
      <c r="Q199" s="9"/>
      <c r="R199" s="9"/>
      <c r="S199" s="9"/>
      <c r="T199" s="9"/>
      <c r="U199" s="9"/>
      <c r="V199" s="9"/>
      <c r="W199" s="9"/>
      <c r="X199" s="9"/>
      <c r="Y199" s="9"/>
      <c r="Z199" s="9"/>
      <c r="AA199" s="9"/>
      <c r="AB199" s="9"/>
    </row>
    <row r="200" ht="15.75" customHeight="1">
      <c r="A200" s="50" t="s">
        <v>152</v>
      </c>
      <c r="B200" s="52"/>
      <c r="C200" s="52"/>
      <c r="D200" s="52"/>
      <c r="E200" s="52"/>
      <c r="F200" s="52"/>
      <c r="G200" s="52">
        <v>204.477</v>
      </c>
      <c r="H200" s="52"/>
      <c r="I200" s="52"/>
      <c r="J200" s="52"/>
      <c r="K200" s="9"/>
      <c r="L200" s="9"/>
      <c r="M200" s="9"/>
      <c r="N200" s="52"/>
      <c r="O200" s="52"/>
      <c r="P200" s="52"/>
      <c r="Q200" s="9"/>
      <c r="R200" s="9"/>
      <c r="S200" s="9"/>
      <c r="T200" s="9"/>
      <c r="U200" s="9"/>
      <c r="V200" s="9"/>
      <c r="W200" s="9"/>
      <c r="X200" s="9"/>
      <c r="Y200" s="9"/>
      <c r="Z200" s="9"/>
      <c r="AA200" s="9"/>
      <c r="AB200" s="9"/>
    </row>
    <row r="201" ht="15.75" customHeight="1">
      <c r="A201" s="50" t="s">
        <v>154</v>
      </c>
      <c r="B201" s="52"/>
      <c r="C201" s="52">
        <v>0.0</v>
      </c>
      <c r="D201" s="52"/>
      <c r="E201" s="52"/>
      <c r="F201" s="52"/>
      <c r="G201" s="52"/>
      <c r="H201" s="52"/>
      <c r="I201" s="52"/>
      <c r="J201" s="52"/>
      <c r="K201" s="9"/>
      <c r="L201" s="9"/>
      <c r="M201" s="9"/>
      <c r="N201" s="52"/>
      <c r="O201" s="52"/>
      <c r="P201" s="52"/>
      <c r="Q201" s="9"/>
      <c r="R201" s="9"/>
      <c r="S201" s="9"/>
      <c r="T201" s="9"/>
      <c r="U201" s="9"/>
      <c r="V201" s="9"/>
      <c r="W201" s="9"/>
      <c r="X201" s="9"/>
      <c r="Y201" s="9"/>
      <c r="Z201" s="9"/>
      <c r="AA201" s="9"/>
      <c r="AB201" s="9"/>
    </row>
    <row r="202" ht="15.75" customHeight="1">
      <c r="A202" s="50" t="s">
        <v>155</v>
      </c>
      <c r="B202" s="52"/>
      <c r="C202" s="52"/>
      <c r="D202" s="52"/>
      <c r="E202" s="52"/>
      <c r="F202" s="52"/>
      <c r="G202" s="52"/>
      <c r="H202" s="52"/>
      <c r="I202" s="52"/>
      <c r="J202" s="52"/>
      <c r="K202" s="9"/>
      <c r="L202" s="9"/>
      <c r="M202" s="9"/>
      <c r="N202" s="52"/>
      <c r="O202" s="52"/>
      <c r="P202" s="52"/>
      <c r="Q202" s="9"/>
      <c r="R202" s="9"/>
      <c r="S202" s="9"/>
      <c r="T202" s="9"/>
      <c r="U202" s="9"/>
      <c r="V202" s="9"/>
      <c r="W202" s="9"/>
      <c r="X202" s="9"/>
      <c r="Y202" s="9"/>
      <c r="Z202" s="9"/>
      <c r="AA202" s="9"/>
      <c r="AB202" s="9"/>
    </row>
    <row r="203" ht="15.75" customHeight="1">
      <c r="A203" s="50" t="s">
        <v>156</v>
      </c>
      <c r="B203" s="52"/>
      <c r="C203" s="52">
        <v>274.873</v>
      </c>
      <c r="D203" s="52"/>
      <c r="E203" s="52"/>
      <c r="F203" s="52"/>
      <c r="G203" s="52">
        <v>413.189</v>
      </c>
      <c r="H203" s="52"/>
      <c r="I203" s="52"/>
      <c r="J203" s="52"/>
      <c r="K203" s="9"/>
      <c r="L203" s="9"/>
      <c r="M203" s="9"/>
      <c r="N203" s="52"/>
      <c r="O203" s="52"/>
      <c r="P203" s="52"/>
      <c r="Q203" s="9"/>
      <c r="R203" s="9"/>
      <c r="S203" s="9"/>
      <c r="T203" s="9"/>
      <c r="U203" s="9"/>
      <c r="V203" s="9"/>
      <c r="W203" s="9"/>
      <c r="X203" s="9"/>
      <c r="Y203" s="9"/>
      <c r="Z203" s="9"/>
      <c r="AA203" s="9"/>
      <c r="AB203" s="9"/>
    </row>
    <row r="204" ht="15.75" customHeight="1">
      <c r="A204" s="50" t="s">
        <v>157</v>
      </c>
      <c r="B204" s="52"/>
      <c r="C204" s="52"/>
      <c r="D204" s="52"/>
      <c r="E204" s="52"/>
      <c r="F204" s="52"/>
      <c r="G204" s="52"/>
      <c r="H204" s="52"/>
      <c r="I204" s="52"/>
      <c r="J204" s="52"/>
      <c r="K204" s="9"/>
      <c r="L204" s="9"/>
      <c r="M204" s="9"/>
      <c r="N204" s="52"/>
      <c r="O204" s="52"/>
      <c r="P204" s="52"/>
      <c r="Q204" s="9"/>
      <c r="R204" s="9"/>
      <c r="S204" s="9"/>
      <c r="T204" s="9"/>
      <c r="U204" s="9"/>
      <c r="V204" s="9"/>
      <c r="W204" s="9"/>
      <c r="X204" s="9"/>
      <c r="Y204" s="9"/>
      <c r="Z204" s="9"/>
      <c r="AA204" s="9"/>
      <c r="AB204" s="9"/>
    </row>
    <row r="205" ht="15.75" customHeight="1">
      <c r="A205" s="50" t="s">
        <v>158</v>
      </c>
      <c r="B205" s="52"/>
      <c r="C205" s="52">
        <v>72.363</v>
      </c>
      <c r="D205" s="52"/>
      <c r="E205" s="52"/>
      <c r="F205" s="52"/>
      <c r="G205" s="52">
        <v>0.206</v>
      </c>
      <c r="H205" s="52"/>
      <c r="I205" s="52"/>
      <c r="J205" s="52"/>
      <c r="K205" s="9"/>
      <c r="L205" s="9"/>
      <c r="M205" s="9"/>
      <c r="N205" s="52"/>
      <c r="O205" s="52"/>
      <c r="P205" s="52"/>
      <c r="Q205" s="9"/>
      <c r="R205" s="9"/>
      <c r="S205" s="9"/>
      <c r="T205" s="9"/>
      <c r="U205" s="9"/>
      <c r="V205" s="9"/>
      <c r="W205" s="9"/>
      <c r="X205" s="9"/>
      <c r="Y205" s="9"/>
      <c r="Z205" s="9"/>
      <c r="AA205" s="9"/>
      <c r="AB205" s="9"/>
    </row>
    <row r="206" ht="15.75" customHeight="1">
      <c r="A206" s="50" t="s">
        <v>159</v>
      </c>
      <c r="B206" s="52"/>
      <c r="C206" s="52">
        <v>0.0</v>
      </c>
      <c r="D206" s="52"/>
      <c r="E206" s="52"/>
      <c r="F206" s="52"/>
      <c r="G206" s="52">
        <v>187.857</v>
      </c>
      <c r="H206" s="52"/>
      <c r="I206" s="52"/>
      <c r="J206" s="52"/>
      <c r="K206" s="9"/>
      <c r="L206" s="9"/>
      <c r="M206" s="9"/>
      <c r="N206" s="52"/>
      <c r="O206" s="52"/>
      <c r="P206" s="52"/>
      <c r="Q206" s="9"/>
      <c r="R206" s="9"/>
      <c r="S206" s="9"/>
      <c r="T206" s="9"/>
      <c r="U206" s="9"/>
      <c r="V206" s="9"/>
      <c r="W206" s="9"/>
      <c r="X206" s="9"/>
      <c r="Y206" s="9"/>
      <c r="Z206" s="9"/>
      <c r="AA206" s="9"/>
      <c r="AB206" s="9"/>
    </row>
    <row r="207" ht="15.75" customHeight="1">
      <c r="A207" s="50" t="s">
        <v>160</v>
      </c>
      <c r="B207" s="52"/>
      <c r="C207" s="52"/>
      <c r="D207" s="52"/>
      <c r="E207" s="52"/>
      <c r="F207" s="52"/>
      <c r="G207" s="52"/>
      <c r="H207" s="52"/>
      <c r="I207" s="52"/>
      <c r="J207" s="52"/>
      <c r="K207" s="9"/>
      <c r="L207" s="9"/>
      <c r="M207" s="9"/>
      <c r="N207" s="52"/>
      <c r="O207" s="52"/>
      <c r="P207" s="52"/>
      <c r="Q207" s="9"/>
      <c r="R207" s="9"/>
      <c r="S207" s="9"/>
      <c r="T207" s="9"/>
      <c r="U207" s="9"/>
      <c r="V207" s="9"/>
      <c r="W207" s="9"/>
      <c r="X207" s="9"/>
      <c r="Y207" s="9"/>
      <c r="Z207" s="9"/>
      <c r="AA207" s="9"/>
      <c r="AB207" s="9"/>
    </row>
    <row r="208" ht="15.75" customHeight="1">
      <c r="A208" s="50" t="s">
        <v>161</v>
      </c>
      <c r="B208" s="52"/>
      <c r="C208" s="52"/>
      <c r="D208" s="52"/>
      <c r="E208" s="52"/>
      <c r="F208" s="52"/>
      <c r="G208" s="52"/>
      <c r="H208" s="52"/>
      <c r="I208" s="52"/>
      <c r="J208" s="52"/>
      <c r="K208" s="9"/>
      <c r="L208" s="9"/>
      <c r="M208" s="9"/>
      <c r="N208" s="52"/>
      <c r="O208" s="52"/>
      <c r="P208" s="52"/>
      <c r="Q208" s="9"/>
      <c r="R208" s="9"/>
      <c r="S208" s="9"/>
      <c r="T208" s="9"/>
      <c r="U208" s="9"/>
      <c r="V208" s="9"/>
      <c r="W208" s="9"/>
      <c r="X208" s="9"/>
      <c r="Y208" s="9"/>
      <c r="Z208" s="9"/>
      <c r="AA208" s="9"/>
      <c r="AB208" s="9"/>
    </row>
    <row r="209" ht="15.75" customHeight="1">
      <c r="A209" s="50" t="s">
        <v>162</v>
      </c>
      <c r="B209" s="52"/>
      <c r="C209" s="52">
        <v>23.053</v>
      </c>
      <c r="D209" s="52"/>
      <c r="E209" s="52"/>
      <c r="F209" s="52"/>
      <c r="G209" s="52">
        <v>17.045</v>
      </c>
      <c r="H209" s="52"/>
      <c r="I209" s="52"/>
      <c r="J209" s="52"/>
      <c r="K209" s="9"/>
      <c r="L209" s="9"/>
      <c r="M209" s="9"/>
      <c r="N209" s="52"/>
      <c r="O209" s="52"/>
      <c r="P209" s="52"/>
      <c r="Q209" s="9"/>
      <c r="R209" s="9"/>
      <c r="S209" s="9"/>
      <c r="T209" s="9"/>
      <c r="U209" s="9"/>
      <c r="V209" s="9"/>
      <c r="W209" s="9"/>
      <c r="X209" s="9"/>
      <c r="Y209" s="9"/>
      <c r="Z209" s="9"/>
      <c r="AA209" s="9"/>
      <c r="AB209" s="9"/>
    </row>
    <row r="210" ht="15.75" customHeight="1">
      <c r="A210" s="50" t="s">
        <v>165</v>
      </c>
      <c r="B210" s="52"/>
      <c r="C210" s="52">
        <v>54.245</v>
      </c>
      <c r="D210" s="52"/>
      <c r="E210" s="52"/>
      <c r="F210" s="52"/>
      <c r="G210" s="52">
        <v>124.103</v>
      </c>
      <c r="H210" s="52"/>
      <c r="I210" s="52"/>
      <c r="J210" s="52"/>
      <c r="K210" s="9"/>
      <c r="L210" s="9"/>
      <c r="M210" s="9"/>
      <c r="N210" s="52"/>
      <c r="O210" s="52"/>
      <c r="P210" s="52"/>
      <c r="Q210" s="9"/>
      <c r="R210" s="9"/>
      <c r="S210" s="9"/>
      <c r="T210" s="9"/>
      <c r="U210" s="9"/>
      <c r="V210" s="9"/>
      <c r="W210" s="9"/>
      <c r="X210" s="9"/>
      <c r="Y210" s="9"/>
      <c r="Z210" s="9"/>
      <c r="AA210" s="9"/>
      <c r="AB210" s="9"/>
    </row>
    <row r="211" ht="15.75" customHeight="1">
      <c r="A211" s="50" t="s">
        <v>166</v>
      </c>
      <c r="B211" s="52"/>
      <c r="C211" s="52">
        <v>21.492</v>
      </c>
      <c r="D211" s="52"/>
      <c r="E211" s="52"/>
      <c r="F211" s="52"/>
      <c r="G211" s="52">
        <v>15.674</v>
      </c>
      <c r="H211" s="52"/>
      <c r="I211" s="52"/>
      <c r="J211" s="52"/>
      <c r="K211" s="9"/>
      <c r="L211" s="9"/>
      <c r="M211" s="9"/>
      <c r="N211" s="52"/>
      <c r="O211" s="52"/>
      <c r="P211" s="52"/>
      <c r="Q211" s="9"/>
      <c r="R211" s="9"/>
      <c r="S211" s="9"/>
      <c r="T211" s="9"/>
      <c r="U211" s="9"/>
      <c r="V211" s="9"/>
      <c r="W211" s="9"/>
      <c r="X211" s="9"/>
      <c r="Y211" s="9"/>
      <c r="Z211" s="9"/>
      <c r="AA211" s="9"/>
      <c r="AB211" s="9"/>
    </row>
    <row r="212" ht="15.75" customHeight="1">
      <c r="A212" s="50" t="s">
        <v>67</v>
      </c>
      <c r="B212" s="52"/>
      <c r="C212" s="52">
        <v>172.514</v>
      </c>
      <c r="D212" s="52"/>
      <c r="E212" s="52"/>
      <c r="F212" s="52"/>
      <c r="G212" s="52">
        <v>79.039</v>
      </c>
      <c r="H212" s="52"/>
      <c r="I212" s="52"/>
      <c r="J212" s="52"/>
      <c r="K212" s="9"/>
      <c r="L212" s="9"/>
      <c r="M212" s="9"/>
      <c r="N212" s="52"/>
      <c r="O212" s="52"/>
      <c r="P212" s="52"/>
      <c r="Q212" s="9"/>
      <c r="R212" s="9"/>
      <c r="S212" s="9"/>
      <c r="T212" s="9"/>
      <c r="U212" s="9"/>
      <c r="V212" s="9"/>
      <c r="W212" s="9"/>
      <c r="X212" s="9"/>
      <c r="Y212" s="9"/>
      <c r="Z212" s="9"/>
      <c r="AA212" s="9"/>
      <c r="AB212" s="9"/>
    </row>
    <row r="213" ht="15.75" customHeight="1">
      <c r="A213" s="50" t="s">
        <v>169</v>
      </c>
      <c r="B213" s="18"/>
      <c r="C213" s="18">
        <v>0.4848936271878171</v>
      </c>
      <c r="D213" s="18"/>
      <c r="E213" s="18"/>
      <c r="F213" s="18"/>
      <c r="G213" s="18">
        <v>0.2475220859260744</v>
      </c>
      <c r="H213" s="18"/>
      <c r="I213" s="18"/>
      <c r="J213" s="18"/>
      <c r="K213" s="9"/>
      <c r="L213" s="9"/>
      <c r="M213" s="9"/>
      <c r="N213" s="18"/>
      <c r="O213" s="18"/>
      <c r="P213" s="18"/>
      <c r="Q213" s="9"/>
      <c r="R213" s="9"/>
      <c r="S213" s="9"/>
      <c r="T213" s="9"/>
      <c r="U213" s="9"/>
      <c r="V213" s="9"/>
      <c r="W213" s="9"/>
      <c r="X213" s="9"/>
      <c r="Y213" s="9"/>
      <c r="Z213" s="9"/>
      <c r="AA213" s="9"/>
      <c r="AB213" s="9"/>
    </row>
    <row r="214" ht="15.75" customHeight="1">
      <c r="A214" s="50" t="s">
        <v>88</v>
      </c>
      <c r="B214" s="52"/>
      <c r="C214" s="52">
        <v>48.658</v>
      </c>
      <c r="D214" s="52"/>
      <c r="E214" s="52"/>
      <c r="F214" s="52"/>
      <c r="G214" s="52">
        <v>-37.297</v>
      </c>
      <c r="H214" s="52"/>
      <c r="I214" s="52"/>
      <c r="J214" s="52"/>
      <c r="K214" s="9"/>
      <c r="L214" s="9"/>
      <c r="M214" s="9"/>
      <c r="N214" s="52"/>
      <c r="O214" s="52"/>
      <c r="P214" s="52"/>
      <c r="Q214" s="9"/>
      <c r="R214" s="9"/>
      <c r="S214" s="9"/>
      <c r="T214" s="9"/>
      <c r="U214" s="9"/>
      <c r="V214" s="9"/>
      <c r="W214" s="9"/>
      <c r="X214" s="9"/>
      <c r="Y214" s="9"/>
      <c r="Z214" s="9"/>
      <c r="AA214" s="9"/>
      <c r="AB214" s="9"/>
    </row>
    <row r="215" ht="15.75" customHeight="1">
      <c r="A215" s="50" t="s">
        <v>89</v>
      </c>
      <c r="B215" s="18"/>
      <c r="C215" s="18">
        <v>0.1367654457708059</v>
      </c>
      <c r="D215" s="18"/>
      <c r="E215" s="18"/>
      <c r="F215" s="18"/>
      <c r="G215" s="18">
        <v>-0.1168009620413314</v>
      </c>
      <c r="H215" s="18"/>
      <c r="I215" s="18"/>
      <c r="J215" s="18"/>
      <c r="K215" s="9"/>
      <c r="L215" s="9"/>
      <c r="M215" s="9"/>
      <c r="N215" s="18"/>
      <c r="O215" s="18"/>
      <c r="P215" s="18"/>
      <c r="Q215" s="9"/>
      <c r="R215" s="9"/>
      <c r="S215" s="9"/>
      <c r="T215" s="9"/>
      <c r="U215" s="9"/>
      <c r="V215" s="9"/>
      <c r="W215" s="9"/>
      <c r="X215" s="9"/>
      <c r="Y215" s="9"/>
      <c r="Z215" s="9"/>
      <c r="AA215" s="9"/>
      <c r="AB215" s="9"/>
    </row>
    <row r="216" ht="15.75" customHeight="1">
      <c r="A216" s="50" t="s">
        <v>171</v>
      </c>
      <c r="B216" s="101"/>
      <c r="C216" s="101"/>
      <c r="D216" s="101"/>
      <c r="E216" s="101"/>
      <c r="F216" s="101"/>
      <c r="G216" s="101"/>
      <c r="H216" s="101"/>
      <c r="I216" s="101"/>
      <c r="J216" s="101"/>
      <c r="K216" s="9"/>
      <c r="L216" s="9"/>
      <c r="M216" s="9"/>
      <c r="N216" s="101"/>
      <c r="O216" s="101"/>
      <c r="P216" s="101"/>
      <c r="Q216" s="9"/>
      <c r="R216" s="9"/>
      <c r="S216" s="9"/>
      <c r="T216" s="9"/>
      <c r="U216" s="9"/>
      <c r="V216" s="9"/>
      <c r="W216" s="9"/>
      <c r="X216" s="9"/>
      <c r="Y216" s="9"/>
      <c r="Z216" s="9"/>
      <c r="AA216" s="9"/>
      <c r="AB216" s="9"/>
    </row>
    <row r="217" ht="15.75" customHeight="1">
      <c r="A217" s="50" t="s">
        <v>172</v>
      </c>
      <c r="B217" s="18"/>
      <c r="C217" s="18"/>
      <c r="D217" s="18"/>
      <c r="E217" s="18"/>
      <c r="F217" s="18"/>
      <c r="G217" s="18">
        <v>-0.1024686812244749</v>
      </c>
      <c r="H217" s="18"/>
      <c r="I217" s="18"/>
      <c r="J217" s="18"/>
      <c r="K217" s="9"/>
      <c r="L217" s="9"/>
      <c r="M217" s="9"/>
      <c r="N217" s="18"/>
      <c r="O217" s="18"/>
      <c r="P217" s="18"/>
      <c r="Q217" s="9"/>
      <c r="R217" s="9"/>
      <c r="S217" s="9"/>
      <c r="T217" s="9"/>
      <c r="U217" s="9"/>
      <c r="V217" s="9"/>
      <c r="W217" s="9"/>
      <c r="X217" s="9"/>
      <c r="Y217" s="9"/>
      <c r="Z217" s="9"/>
      <c r="AA217" s="9"/>
      <c r="AB217" s="9"/>
    </row>
    <row r="218" ht="15.75" customHeight="1">
      <c r="A218" s="50" t="s">
        <v>173</v>
      </c>
      <c r="B218" s="18"/>
      <c r="C218" s="18"/>
      <c r="D218" s="18"/>
      <c r="E218" s="18"/>
      <c r="F218" s="18"/>
      <c r="G218" s="18">
        <v>-0.5418400825440254</v>
      </c>
      <c r="H218" s="18"/>
      <c r="I218" s="18"/>
      <c r="J218" s="18"/>
      <c r="K218" s="9"/>
      <c r="L218" s="9"/>
      <c r="M218" s="9"/>
      <c r="N218" s="18"/>
      <c r="O218" s="18"/>
      <c r="P218" s="18"/>
      <c r="Q218" s="9"/>
      <c r="R218" s="9"/>
      <c r="S218" s="9"/>
      <c r="T218" s="9"/>
      <c r="U218" s="9"/>
      <c r="V218" s="9"/>
      <c r="W218" s="9"/>
      <c r="X218" s="9"/>
      <c r="Y218" s="9"/>
      <c r="Z218" s="9"/>
      <c r="AA218" s="9"/>
      <c r="AB218" s="9"/>
    </row>
    <row r="219" ht="15.75" customHeight="1">
      <c r="A219" s="50" t="s">
        <v>174</v>
      </c>
      <c r="B219" s="18"/>
      <c r="C219" s="18"/>
      <c r="D219" s="18"/>
      <c r="E219" s="18"/>
      <c r="F219" s="18"/>
      <c r="G219" s="18">
        <v>-1.766513214682067</v>
      </c>
      <c r="H219" s="18"/>
      <c r="I219" s="18"/>
      <c r="J219" s="18"/>
      <c r="K219" s="9"/>
      <c r="L219" s="9"/>
      <c r="M219" s="9"/>
      <c r="N219" s="18"/>
      <c r="O219" s="18"/>
      <c r="P219" s="18"/>
      <c r="Q219" s="9"/>
      <c r="R219" s="9"/>
      <c r="S219" s="9"/>
      <c r="T219" s="9"/>
      <c r="U219" s="9"/>
      <c r="V219" s="9"/>
      <c r="W219" s="9"/>
      <c r="X219" s="9"/>
      <c r="Y219" s="9"/>
      <c r="Z219" s="9"/>
      <c r="AA219" s="9"/>
      <c r="AB219" s="9"/>
    </row>
    <row r="220" ht="15.75" customHeight="1">
      <c r="A220" s="50" t="s">
        <v>175</v>
      </c>
      <c r="B220" s="101"/>
      <c r="C220" s="101"/>
      <c r="D220" s="101"/>
      <c r="E220" s="101"/>
      <c r="F220" s="101"/>
      <c r="G220" s="101"/>
      <c r="H220" s="101"/>
      <c r="I220" s="101"/>
      <c r="J220" s="101"/>
      <c r="K220" s="9"/>
      <c r="L220" s="9"/>
      <c r="M220" s="9"/>
      <c r="N220" s="101"/>
      <c r="O220" s="101"/>
      <c r="P220" s="101"/>
      <c r="Q220" s="9"/>
      <c r="R220" s="9"/>
      <c r="S220" s="9"/>
      <c r="T220" s="9"/>
      <c r="U220" s="9"/>
      <c r="V220" s="9"/>
      <c r="W220" s="9"/>
      <c r="X220" s="9"/>
      <c r="Y220" s="9"/>
      <c r="Z220" s="9"/>
      <c r="AA220" s="9"/>
      <c r="AB220" s="9"/>
    </row>
    <row r="221" ht="15.75" customHeight="1">
      <c r="A221" s="50" t="s">
        <v>176</v>
      </c>
      <c r="B221" s="101"/>
      <c r="C221" s="101"/>
      <c r="D221" s="101"/>
      <c r="E221" s="101"/>
      <c r="F221" s="101"/>
      <c r="G221" s="101"/>
      <c r="H221" s="101"/>
      <c r="I221" s="101"/>
      <c r="J221" s="101"/>
      <c r="K221" s="9"/>
      <c r="L221" s="9"/>
      <c r="M221" s="9"/>
      <c r="N221" s="101"/>
      <c r="O221" s="101"/>
      <c r="P221" s="101"/>
      <c r="Q221" s="9"/>
      <c r="R221" s="9"/>
      <c r="S221" s="9"/>
      <c r="T221" s="9"/>
      <c r="U221" s="9"/>
      <c r="V221" s="9"/>
      <c r="W221" s="9"/>
      <c r="X221" s="9"/>
      <c r="Y221" s="9"/>
      <c r="Z221" s="9"/>
      <c r="AA221" s="9"/>
      <c r="AB221" s="9"/>
    </row>
    <row r="222" ht="15.75" customHeight="1">
      <c r="A222" s="50" t="s">
        <v>177</v>
      </c>
      <c r="B222" s="101"/>
      <c r="C222" s="101"/>
      <c r="D222" s="101"/>
      <c r="E222" s="101"/>
      <c r="F222" s="101"/>
      <c r="G222" s="101"/>
      <c r="H222" s="101"/>
      <c r="I222" s="101"/>
      <c r="J222" s="101"/>
      <c r="K222" s="9"/>
      <c r="L222" s="9"/>
      <c r="M222" s="9"/>
      <c r="N222" s="101"/>
      <c r="O222" s="101"/>
      <c r="P222" s="101"/>
      <c r="Q222" s="9"/>
      <c r="R222" s="9"/>
      <c r="S222" s="9"/>
      <c r="T222" s="9"/>
      <c r="U222" s="9"/>
      <c r="V222" s="9"/>
      <c r="W222" s="9"/>
      <c r="X222" s="9"/>
      <c r="Y222" s="9"/>
      <c r="Z222" s="9"/>
      <c r="AA222" s="9"/>
      <c r="AB222" s="9"/>
    </row>
    <row r="223" ht="15.75" customHeight="1">
      <c r="A223" s="50" t="s">
        <v>178</v>
      </c>
      <c r="B223" s="101"/>
      <c r="C223" s="101"/>
      <c r="D223" s="101"/>
      <c r="E223" s="101"/>
      <c r="F223" s="101"/>
      <c r="G223" s="101"/>
      <c r="H223" s="101"/>
      <c r="I223" s="101"/>
      <c r="J223" s="101"/>
      <c r="K223" s="9"/>
      <c r="L223" s="9"/>
      <c r="M223" s="9"/>
      <c r="N223" s="101"/>
      <c r="O223" s="101"/>
      <c r="P223" s="101"/>
      <c r="Q223" s="9"/>
      <c r="R223" s="9"/>
      <c r="S223" s="9"/>
      <c r="T223" s="9"/>
      <c r="U223" s="9"/>
      <c r="V223" s="9"/>
      <c r="W223" s="9"/>
      <c r="X223" s="9"/>
      <c r="Y223" s="9"/>
      <c r="Z223" s="9"/>
      <c r="AA223" s="9"/>
      <c r="AB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5.75" customHeight="1">
      <c r="A225" s="51" t="s">
        <v>179</v>
      </c>
      <c r="B225" s="51" t="s">
        <v>108</v>
      </c>
      <c r="C225" s="51" t="s">
        <v>109</v>
      </c>
      <c r="D225" s="51" t="s">
        <v>110</v>
      </c>
      <c r="E225" s="51" t="s">
        <v>111</v>
      </c>
      <c r="F225" s="51" t="s">
        <v>112</v>
      </c>
      <c r="G225" s="51" t="s">
        <v>113</v>
      </c>
      <c r="H225" s="51" t="s">
        <v>114</v>
      </c>
      <c r="I225" s="51" t="s">
        <v>115</v>
      </c>
      <c r="J225" s="51" t="s">
        <v>116</v>
      </c>
      <c r="K225" s="9"/>
      <c r="L225" s="9"/>
      <c r="M225" s="9"/>
      <c r="N225" s="51" t="s">
        <v>117</v>
      </c>
      <c r="O225" s="51" t="s">
        <v>118</v>
      </c>
      <c r="P225" s="51" t="s">
        <v>119</v>
      </c>
      <c r="Q225" s="9"/>
      <c r="R225" s="9"/>
      <c r="S225" s="9"/>
      <c r="T225" s="9"/>
      <c r="U225" s="9"/>
      <c r="V225" s="9"/>
      <c r="W225" s="9"/>
      <c r="X225" s="9"/>
      <c r="Y225" s="9"/>
      <c r="Z225" s="9"/>
      <c r="AA225" s="9"/>
      <c r="AB225" s="9"/>
    </row>
    <row r="226" ht="15.75" customHeight="1">
      <c r="A226" s="50" t="s">
        <v>85</v>
      </c>
      <c r="B226" s="18"/>
      <c r="C226" s="18">
        <v>1.0</v>
      </c>
      <c r="D226" s="18"/>
      <c r="E226" s="18"/>
      <c r="F226" s="18"/>
      <c r="G226" s="18">
        <v>1.0</v>
      </c>
      <c r="H226" s="18"/>
      <c r="I226" s="18"/>
      <c r="J226" s="18"/>
      <c r="K226" s="9"/>
      <c r="L226" s="9"/>
      <c r="M226" s="9"/>
      <c r="N226" s="18"/>
      <c r="O226" s="18"/>
      <c r="P226" s="18"/>
      <c r="Q226" s="9"/>
      <c r="R226" s="9"/>
      <c r="S226" s="9"/>
      <c r="T226" s="9"/>
      <c r="U226" s="9"/>
      <c r="V226" s="9"/>
      <c r="W226" s="9"/>
      <c r="X226" s="9"/>
      <c r="Y226" s="9"/>
      <c r="Z226" s="9"/>
      <c r="AA226" s="9"/>
      <c r="AB226" s="9"/>
    </row>
    <row r="227" ht="15.75" customHeight="1">
      <c r="A227" s="50" t="s">
        <v>121</v>
      </c>
      <c r="B227" s="18"/>
      <c r="C227" s="18">
        <v>0.00157401968086751</v>
      </c>
      <c r="D227" s="18"/>
      <c r="E227" s="18"/>
      <c r="F227" s="18"/>
      <c r="G227" s="18">
        <v>0.0202053732764209</v>
      </c>
      <c r="H227" s="18"/>
      <c r="I227" s="18"/>
      <c r="J227" s="18"/>
      <c r="K227" s="9"/>
      <c r="L227" s="9"/>
      <c r="M227" s="9"/>
      <c r="N227" s="18"/>
      <c r="O227" s="18"/>
      <c r="P227" s="18"/>
      <c r="Q227" s="9"/>
      <c r="R227" s="9"/>
      <c r="S227" s="9"/>
      <c r="T227" s="9"/>
      <c r="U227" s="9"/>
      <c r="V227" s="9"/>
      <c r="W227" s="9"/>
      <c r="X227" s="9"/>
      <c r="Y227" s="9"/>
      <c r="Z227" s="9"/>
      <c r="AA227" s="9"/>
      <c r="AB227" s="9"/>
    </row>
    <row r="228" ht="15.75" customHeight="1">
      <c r="A228" s="50" t="s">
        <v>127</v>
      </c>
      <c r="B228" s="18"/>
      <c r="C228" s="18"/>
      <c r="D228" s="18"/>
      <c r="E228" s="18"/>
      <c r="F228" s="18"/>
      <c r="G228" s="18">
        <v>1.020205373276421</v>
      </c>
      <c r="H228" s="18"/>
      <c r="I228" s="18"/>
      <c r="J228" s="18"/>
      <c r="K228" s="9"/>
      <c r="L228" s="9"/>
      <c r="M228" s="9"/>
      <c r="N228" s="18"/>
      <c r="O228" s="18"/>
      <c r="P228" s="18"/>
      <c r="Q228" s="9"/>
      <c r="R228" s="9"/>
      <c r="S228" s="9"/>
      <c r="T228" s="9"/>
      <c r="U228" s="9"/>
      <c r="V228" s="9"/>
      <c r="W228" s="9"/>
      <c r="X228" s="9"/>
      <c r="Y228" s="9"/>
      <c r="Z228" s="9"/>
      <c r="AA228" s="9"/>
      <c r="AB228" s="9"/>
    </row>
    <row r="229" ht="15.75" customHeight="1">
      <c r="A229" s="50" t="s">
        <v>131</v>
      </c>
      <c r="B229" s="18"/>
      <c r="C229" s="18">
        <v>0.515106372812183</v>
      </c>
      <c r="D229" s="18"/>
      <c r="E229" s="18"/>
      <c r="F229" s="18"/>
      <c r="G229" s="18">
        <v>0.0</v>
      </c>
      <c r="H229" s="18"/>
      <c r="I229" s="18"/>
      <c r="J229" s="18"/>
      <c r="K229" s="9"/>
      <c r="L229" s="9"/>
      <c r="M229" s="9"/>
      <c r="N229" s="18"/>
      <c r="O229" s="18"/>
      <c r="P229" s="18"/>
      <c r="Q229" s="9"/>
      <c r="R229" s="9"/>
      <c r="S229" s="9"/>
      <c r="T229" s="9"/>
      <c r="U229" s="9"/>
      <c r="V229" s="9"/>
      <c r="W229" s="9"/>
      <c r="X229" s="9"/>
      <c r="Y229" s="9"/>
      <c r="Z229" s="9"/>
      <c r="AA229" s="9"/>
      <c r="AB229" s="9"/>
    </row>
    <row r="230" ht="15.75" customHeight="1">
      <c r="A230" s="50" t="s">
        <v>133</v>
      </c>
      <c r="B230" s="18"/>
      <c r="C230" s="18">
        <v>0.0</v>
      </c>
      <c r="D230" s="18"/>
      <c r="E230" s="18"/>
      <c r="F230" s="18"/>
      <c r="G230" s="18">
        <v>0.7524779140739256</v>
      </c>
      <c r="H230" s="18"/>
      <c r="I230" s="18"/>
      <c r="J230" s="18"/>
      <c r="K230" s="9"/>
      <c r="L230" s="9"/>
      <c r="M230" s="9"/>
      <c r="N230" s="18"/>
      <c r="O230" s="18"/>
      <c r="P230" s="18"/>
      <c r="Q230" s="9"/>
      <c r="R230" s="9"/>
      <c r="S230" s="9"/>
      <c r="T230" s="9"/>
      <c r="U230" s="9"/>
      <c r="V230" s="9"/>
      <c r="W230" s="9"/>
      <c r="X230" s="9"/>
      <c r="Y230" s="9"/>
      <c r="Z230" s="9"/>
      <c r="AA230" s="9"/>
      <c r="AB230" s="9"/>
    </row>
    <row r="231" ht="15.75" customHeight="1">
      <c r="A231" s="50" t="s">
        <v>134</v>
      </c>
      <c r="B231" s="18"/>
      <c r="C231" s="18">
        <v>0.0</v>
      </c>
      <c r="D231" s="18"/>
      <c r="E231" s="18"/>
      <c r="F231" s="18"/>
      <c r="G231" s="18">
        <v>0.0</v>
      </c>
      <c r="H231" s="18"/>
      <c r="I231" s="18"/>
      <c r="J231" s="18"/>
      <c r="K231" s="9"/>
      <c r="L231" s="9"/>
      <c r="M231" s="9"/>
      <c r="N231" s="18"/>
      <c r="O231" s="18"/>
      <c r="P231" s="18"/>
      <c r="Q231" s="9"/>
      <c r="R231" s="9"/>
      <c r="S231" s="9"/>
      <c r="T231" s="9"/>
      <c r="U231" s="9"/>
      <c r="V231" s="9"/>
      <c r="W231" s="9"/>
      <c r="X231" s="9"/>
      <c r="Y231" s="9"/>
      <c r="Z231" s="9"/>
      <c r="AA231" s="9"/>
      <c r="AB231" s="9"/>
    </row>
    <row r="232" ht="15.75" customHeight="1">
      <c r="A232" s="50" t="s">
        <v>136</v>
      </c>
      <c r="B232" s="18"/>
      <c r="C232" s="18">
        <v>0.2074979551797896</v>
      </c>
      <c r="D232" s="18"/>
      <c r="E232" s="18"/>
      <c r="F232" s="18"/>
      <c r="G232" s="18">
        <v>0.2425459020859887</v>
      </c>
      <c r="H232" s="18"/>
      <c r="I232" s="18"/>
      <c r="J232" s="18"/>
      <c r="K232" s="9"/>
      <c r="L232" s="9"/>
      <c r="M232" s="9"/>
      <c r="N232" s="18"/>
      <c r="O232" s="18"/>
      <c r="P232" s="18"/>
      <c r="Q232" s="9"/>
      <c r="R232" s="9"/>
      <c r="S232" s="9"/>
      <c r="T232" s="9"/>
      <c r="U232" s="9"/>
      <c r="V232" s="9"/>
      <c r="W232" s="9"/>
      <c r="X232" s="9"/>
      <c r="Y232" s="9"/>
      <c r="Z232" s="9"/>
      <c r="AA232" s="9"/>
      <c r="AB232" s="9"/>
    </row>
    <row r="233" ht="15.75" customHeight="1">
      <c r="A233" s="50" t="s">
        <v>138</v>
      </c>
      <c r="B233" s="18"/>
      <c r="C233" s="18">
        <v>0.001894445115901253</v>
      </c>
      <c r="D233" s="18"/>
      <c r="E233" s="18"/>
      <c r="F233" s="18"/>
      <c r="G233" s="18">
        <v>0.02003939609358608</v>
      </c>
      <c r="H233" s="18"/>
      <c r="I233" s="18"/>
      <c r="J233" s="18"/>
      <c r="K233" s="9"/>
      <c r="L233" s="9"/>
      <c r="M233" s="9"/>
      <c r="N233" s="18"/>
      <c r="O233" s="18"/>
      <c r="P233" s="18"/>
      <c r="Q233" s="9"/>
      <c r="R233" s="9"/>
      <c r="S233" s="9"/>
      <c r="T233" s="9"/>
      <c r="U233" s="9"/>
      <c r="V233" s="9"/>
      <c r="W233" s="9"/>
      <c r="X233" s="9"/>
      <c r="Y233" s="9"/>
      <c r="Z233" s="9"/>
      <c r="AA233" s="9"/>
      <c r="AB233" s="9"/>
    </row>
    <row r="234" ht="15.75" customHeight="1">
      <c r="A234" s="50" t="s">
        <v>140</v>
      </c>
      <c r="B234" s="18"/>
      <c r="C234" s="18">
        <v>0.01646255941221608</v>
      </c>
      <c r="D234" s="18"/>
      <c r="E234" s="18"/>
      <c r="F234" s="18"/>
      <c r="G234" s="18">
        <v>0.03022350550073437</v>
      </c>
      <c r="H234" s="18"/>
      <c r="I234" s="18"/>
      <c r="J234" s="18"/>
      <c r="K234" s="9"/>
      <c r="L234" s="9"/>
      <c r="M234" s="9"/>
      <c r="N234" s="18"/>
      <c r="O234" s="18"/>
      <c r="P234" s="18"/>
      <c r="Q234" s="9"/>
      <c r="R234" s="9"/>
      <c r="S234" s="9"/>
      <c r="T234" s="9"/>
      <c r="U234" s="9"/>
      <c r="V234" s="9"/>
      <c r="W234" s="9"/>
      <c r="X234" s="9"/>
      <c r="Y234" s="9"/>
      <c r="Z234" s="9"/>
      <c r="AA234" s="9"/>
      <c r="AB234" s="9"/>
    </row>
    <row r="235" ht="15.75" customHeight="1">
      <c r="A235" s="50" t="s">
        <v>141</v>
      </c>
      <c r="B235" s="18"/>
      <c r="C235" s="18">
        <v>0.1422042459180892</v>
      </c>
      <c r="D235" s="18"/>
      <c r="E235" s="18"/>
      <c r="F235" s="18"/>
      <c r="G235" s="18">
        <v>0.141982519157838</v>
      </c>
      <c r="H235" s="18"/>
      <c r="I235" s="18"/>
      <c r="J235" s="18"/>
      <c r="K235" s="9"/>
      <c r="L235" s="9"/>
      <c r="M235" s="9"/>
      <c r="N235" s="18"/>
      <c r="O235" s="18"/>
      <c r="P235" s="18"/>
      <c r="Q235" s="9"/>
      <c r="R235" s="9"/>
      <c r="S235" s="9"/>
      <c r="T235" s="9"/>
      <c r="U235" s="9"/>
      <c r="V235" s="9"/>
      <c r="W235" s="9"/>
      <c r="X235" s="9"/>
      <c r="Y235" s="9"/>
      <c r="Z235" s="9"/>
      <c r="AA235" s="9"/>
      <c r="AB235" s="9"/>
    </row>
    <row r="236" ht="15.75" customHeight="1">
      <c r="A236" s="50" t="s">
        <v>142</v>
      </c>
      <c r="B236" s="18"/>
      <c r="C236" s="18">
        <v>0.883165578438179</v>
      </c>
      <c r="D236" s="18"/>
      <c r="E236" s="18"/>
      <c r="F236" s="18"/>
      <c r="G236" s="18">
        <v>1.187269236912073</v>
      </c>
      <c r="H236" s="18"/>
      <c r="I236" s="18"/>
      <c r="J236" s="18"/>
      <c r="K236" s="9"/>
      <c r="L236" s="9"/>
      <c r="M236" s="9"/>
      <c r="N236" s="18"/>
      <c r="O236" s="18"/>
      <c r="P236" s="18"/>
      <c r="Q236" s="9"/>
      <c r="R236" s="9"/>
      <c r="S236" s="9"/>
      <c r="T236" s="9"/>
      <c r="U236" s="9"/>
      <c r="V236" s="9"/>
      <c r="W236" s="9"/>
      <c r="X236" s="9"/>
      <c r="Y236" s="9"/>
      <c r="Z236" s="9"/>
      <c r="AA236" s="9"/>
      <c r="AB236" s="9"/>
    </row>
    <row r="237" ht="15.75" customHeight="1">
      <c r="A237" s="50" t="s">
        <v>143</v>
      </c>
      <c r="B237" s="18"/>
      <c r="C237" s="18">
        <v>0.1184084412426886</v>
      </c>
      <c r="D237" s="18"/>
      <c r="E237" s="18"/>
      <c r="F237" s="18"/>
      <c r="G237" s="18">
        <v>-0.1670638636356519</v>
      </c>
      <c r="H237" s="18"/>
      <c r="I237" s="18"/>
      <c r="J237" s="18"/>
      <c r="K237" s="9"/>
      <c r="L237" s="9"/>
      <c r="M237" s="9"/>
      <c r="N237" s="18"/>
      <c r="O237" s="18"/>
      <c r="P237" s="18"/>
      <c r="Q237" s="9"/>
      <c r="R237" s="9"/>
      <c r="S237" s="9"/>
      <c r="T237" s="9"/>
      <c r="U237" s="9"/>
      <c r="V237" s="9"/>
      <c r="W237" s="9"/>
      <c r="X237" s="9"/>
      <c r="Y237" s="9"/>
      <c r="Z237" s="9"/>
      <c r="AA237" s="9"/>
      <c r="AB237" s="9"/>
    </row>
    <row r="238" ht="15.75" customHeight="1">
      <c r="A238" s="50" t="s">
        <v>147</v>
      </c>
      <c r="B238" s="18"/>
      <c r="C238" s="18">
        <v>0.02225270323826442</v>
      </c>
      <c r="D238" s="18"/>
      <c r="E238" s="18"/>
      <c r="F238" s="18"/>
      <c r="G238" s="18">
        <v>-0.02106970728514567</v>
      </c>
      <c r="H238" s="18"/>
      <c r="I238" s="18"/>
      <c r="J238" s="18"/>
      <c r="K238" s="9"/>
      <c r="L238" s="9"/>
      <c r="M238" s="9"/>
      <c r="N238" s="18"/>
      <c r="O238" s="18"/>
      <c r="P238" s="18"/>
      <c r="Q238" s="9"/>
      <c r="R238" s="9"/>
      <c r="S238" s="9"/>
      <c r="T238" s="9"/>
      <c r="U238" s="9"/>
      <c r="V238" s="9"/>
      <c r="W238" s="9"/>
      <c r="X238" s="9"/>
      <c r="Y238" s="9"/>
      <c r="Z238" s="9"/>
      <c r="AA238" s="9"/>
      <c r="AB238" s="9"/>
    </row>
    <row r="239" ht="15.75" customHeight="1">
      <c r="A239" s="50" t="s">
        <v>149</v>
      </c>
      <c r="B239" s="18"/>
      <c r="C239" s="18">
        <v>0.09615573800442413</v>
      </c>
      <c r="D239" s="18"/>
      <c r="E239" s="18"/>
      <c r="F239" s="18"/>
      <c r="G239" s="18">
        <v>-0.1459941563505062</v>
      </c>
      <c r="H239" s="18"/>
      <c r="I239" s="18"/>
      <c r="J239" s="18"/>
      <c r="K239" s="9"/>
      <c r="L239" s="9"/>
      <c r="M239" s="9"/>
      <c r="N239" s="18"/>
      <c r="O239" s="18"/>
      <c r="P239" s="18"/>
      <c r="Q239" s="9"/>
      <c r="R239" s="9"/>
      <c r="S239" s="9"/>
      <c r="T239" s="9"/>
      <c r="U239" s="9"/>
      <c r="V239" s="9"/>
      <c r="W239" s="9"/>
      <c r="X239" s="9"/>
      <c r="Y239" s="9"/>
      <c r="Z239" s="9"/>
      <c r="AA239" s="9"/>
      <c r="AB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mergeCells count="2">
    <mergeCell ref="T17:W17"/>
    <mergeCell ref="X17:AA17"/>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2" width="25.67"/>
    <col customWidth="1" min="13" max="26" width="8.78"/>
  </cols>
  <sheetData>
    <row r="1" ht="24.0" customHeight="1">
      <c r="A1" s="103" t="s">
        <v>183</v>
      </c>
      <c r="M1" s="9"/>
      <c r="N1" s="9"/>
      <c r="O1" s="9"/>
      <c r="P1" s="9"/>
      <c r="Q1" s="9"/>
      <c r="R1" s="9"/>
      <c r="S1" s="9"/>
      <c r="T1" s="9"/>
      <c r="U1" s="9"/>
      <c r="V1" s="9"/>
      <c r="W1" s="9"/>
      <c r="X1" s="9"/>
      <c r="Y1" s="9"/>
      <c r="Z1" s="9"/>
    </row>
    <row r="2" ht="30.0" customHeight="1">
      <c r="A2" s="104" t="s">
        <v>184</v>
      </c>
      <c r="B2" s="104" t="s">
        <v>82</v>
      </c>
      <c r="C2" s="104" t="s">
        <v>185</v>
      </c>
      <c r="D2" s="104"/>
      <c r="E2" s="104" t="s">
        <v>186</v>
      </c>
      <c r="F2" s="104" t="s">
        <v>187</v>
      </c>
      <c r="G2" s="104" t="s">
        <v>188</v>
      </c>
      <c r="H2" s="104" t="s">
        <v>189</v>
      </c>
      <c r="I2" s="104" t="s">
        <v>190</v>
      </c>
      <c r="J2" s="104" t="s">
        <v>191</v>
      </c>
      <c r="K2" s="104" t="s">
        <v>192</v>
      </c>
      <c r="L2" s="104" t="s">
        <v>193</v>
      </c>
      <c r="M2" s="9"/>
      <c r="N2" s="9"/>
      <c r="O2" s="9"/>
      <c r="P2" s="9"/>
      <c r="Q2" s="9"/>
      <c r="R2" s="9"/>
      <c r="S2" s="9"/>
      <c r="T2" s="9"/>
      <c r="U2" s="9"/>
      <c r="V2" s="9"/>
      <c r="W2" s="9"/>
      <c r="X2" s="9"/>
      <c r="Y2" s="9"/>
      <c r="Z2" s="9"/>
    </row>
    <row r="3" ht="30.0" hidden="1" customHeight="1">
      <c r="A3" s="105" t="s">
        <v>194</v>
      </c>
      <c r="B3" s="105" t="s">
        <v>195</v>
      </c>
      <c r="C3" s="105" t="s">
        <v>196</v>
      </c>
      <c r="D3" s="105"/>
      <c r="E3" s="105" t="s">
        <v>197</v>
      </c>
      <c r="F3" s="105" t="s">
        <v>198</v>
      </c>
      <c r="G3" s="105" t="s">
        <v>199</v>
      </c>
      <c r="H3" s="105" t="s">
        <v>200</v>
      </c>
      <c r="I3" s="105" t="s">
        <v>201</v>
      </c>
      <c r="J3" s="105" t="s">
        <v>202</v>
      </c>
      <c r="K3" s="105" t="s">
        <v>203</v>
      </c>
      <c r="L3" s="105" t="s">
        <v>204</v>
      </c>
      <c r="M3" s="9"/>
      <c r="N3" s="9"/>
      <c r="O3" s="9"/>
      <c r="P3" s="9"/>
      <c r="Q3" s="9"/>
      <c r="R3" s="9"/>
      <c r="S3" s="9"/>
      <c r="T3" s="9"/>
      <c r="U3" s="9"/>
      <c r="V3" s="9"/>
      <c r="W3" s="9"/>
      <c r="X3" s="9"/>
      <c r="Y3" s="9"/>
      <c r="Z3" s="9"/>
    </row>
    <row r="4" ht="30.0" hidden="1" customHeight="1">
      <c r="A4" s="106" t="s">
        <v>205</v>
      </c>
      <c r="B4" s="9"/>
      <c r="C4" s="106" t="s">
        <v>206</v>
      </c>
      <c r="D4" s="106"/>
      <c r="E4" s="9"/>
      <c r="F4" s="9"/>
      <c r="G4" s="9"/>
      <c r="H4" s="9"/>
      <c r="I4" s="9"/>
      <c r="J4" s="9"/>
      <c r="K4" s="9"/>
      <c r="L4" s="9"/>
      <c r="M4" s="9"/>
      <c r="N4" s="9"/>
      <c r="O4" s="9"/>
      <c r="P4" s="9"/>
      <c r="Q4" s="9"/>
      <c r="R4" s="9"/>
      <c r="S4" s="9"/>
      <c r="T4" s="9"/>
      <c r="U4" s="9"/>
      <c r="V4" s="9"/>
      <c r="W4" s="9"/>
      <c r="X4" s="9"/>
      <c r="Y4" s="9"/>
      <c r="Z4" s="9"/>
    </row>
    <row r="5" ht="30.0" customHeight="1">
      <c r="A5" s="107" t="s">
        <v>207</v>
      </c>
      <c r="B5" s="108" t="s">
        <v>180</v>
      </c>
      <c r="C5" s="108" t="s">
        <v>208</v>
      </c>
      <c r="D5" s="108" t="str">
        <f t="shared" ref="D5:D66" si="1">RIGHT(C5,4)</f>
        <v>2026</v>
      </c>
      <c r="E5" s="108" t="s">
        <v>209</v>
      </c>
      <c r="F5" s="108" t="s">
        <v>210</v>
      </c>
      <c r="G5" s="108" t="s">
        <v>211</v>
      </c>
      <c r="H5" s="108" t="s">
        <v>212</v>
      </c>
      <c r="I5" s="108" t="s">
        <v>213</v>
      </c>
      <c r="J5" s="108" t="s">
        <v>214</v>
      </c>
      <c r="K5" s="108" t="s">
        <v>215</v>
      </c>
      <c r="L5" s="108" t="s">
        <v>216</v>
      </c>
      <c r="M5" s="9"/>
      <c r="N5" s="9"/>
      <c r="O5" s="9"/>
      <c r="P5" s="9"/>
      <c r="Q5" s="9"/>
      <c r="R5" s="9"/>
      <c r="S5" s="9"/>
      <c r="T5" s="9"/>
      <c r="U5" s="9"/>
      <c r="V5" s="9"/>
      <c r="W5" s="9"/>
      <c r="X5" s="9"/>
      <c r="Y5" s="9"/>
      <c r="Z5" s="9"/>
    </row>
    <row r="6" ht="30.0" customHeight="1">
      <c r="A6" s="107" t="s">
        <v>217</v>
      </c>
      <c r="B6" s="108" t="s">
        <v>180</v>
      </c>
      <c r="C6" s="108" t="s">
        <v>218</v>
      </c>
      <c r="D6" s="108" t="str">
        <f t="shared" si="1"/>
        <v>2026</v>
      </c>
      <c r="E6" s="108" t="s">
        <v>219</v>
      </c>
      <c r="F6" s="108" t="s">
        <v>220</v>
      </c>
      <c r="G6" s="108" t="s">
        <v>221</v>
      </c>
      <c r="H6" s="108" t="s">
        <v>222</v>
      </c>
      <c r="I6" s="108" t="s">
        <v>223</v>
      </c>
      <c r="J6" s="108" t="s">
        <v>224</v>
      </c>
      <c r="K6" s="108" t="s">
        <v>225</v>
      </c>
      <c r="L6" s="108" t="s">
        <v>226</v>
      </c>
      <c r="M6" s="9"/>
      <c r="N6" s="9"/>
      <c r="O6" s="9"/>
      <c r="P6" s="9"/>
      <c r="Q6" s="9"/>
      <c r="R6" s="9"/>
      <c r="S6" s="9"/>
      <c r="T6" s="9"/>
      <c r="U6" s="9"/>
      <c r="V6" s="9"/>
      <c r="W6" s="9"/>
      <c r="X6" s="9"/>
      <c r="Y6" s="9"/>
      <c r="Z6" s="9"/>
    </row>
    <row r="7" ht="30.0" hidden="1" customHeight="1">
      <c r="A7" s="107" t="s">
        <v>227</v>
      </c>
      <c r="B7" s="108" t="s">
        <v>180</v>
      </c>
      <c r="C7" s="108" t="s">
        <v>228</v>
      </c>
      <c r="D7" s="108" t="str">
        <f t="shared" si="1"/>
        <v>2025</v>
      </c>
      <c r="E7" s="108" t="s">
        <v>229</v>
      </c>
      <c r="F7" s="108" t="s">
        <v>230</v>
      </c>
      <c r="G7" s="108" t="s">
        <v>231</v>
      </c>
      <c r="H7" s="108" t="s">
        <v>232</v>
      </c>
      <c r="I7" s="108" t="s">
        <v>233</v>
      </c>
      <c r="J7" s="108" t="s">
        <v>234</v>
      </c>
      <c r="K7" s="108" t="s">
        <v>235</v>
      </c>
      <c r="L7" s="108" t="s">
        <v>236</v>
      </c>
      <c r="M7" s="9"/>
      <c r="N7" s="9"/>
      <c r="O7" s="9"/>
      <c r="P7" s="9"/>
      <c r="Q7" s="9"/>
      <c r="R7" s="9"/>
      <c r="S7" s="9"/>
      <c r="T7" s="9"/>
      <c r="U7" s="9"/>
      <c r="V7" s="9"/>
      <c r="W7" s="9"/>
      <c r="X7" s="9"/>
      <c r="Y7" s="9"/>
      <c r="Z7" s="9"/>
    </row>
    <row r="8" ht="30.0" hidden="1" customHeight="1">
      <c r="A8" s="107" t="s">
        <v>237</v>
      </c>
      <c r="B8" s="108" t="s">
        <v>180</v>
      </c>
      <c r="C8" s="108" t="s">
        <v>238</v>
      </c>
      <c r="D8" s="108" t="str">
        <f t="shared" si="1"/>
        <v>2025</v>
      </c>
      <c r="E8" s="108" t="s">
        <v>239</v>
      </c>
      <c r="F8" s="108" t="s">
        <v>240</v>
      </c>
      <c r="G8" s="108" t="s">
        <v>241</v>
      </c>
      <c r="H8" s="108" t="s">
        <v>242</v>
      </c>
      <c r="I8" s="108" t="s">
        <v>243</v>
      </c>
      <c r="J8" s="108" t="s">
        <v>244</v>
      </c>
      <c r="K8" s="108" t="s">
        <v>245</v>
      </c>
      <c r="L8" s="108" t="s">
        <v>246</v>
      </c>
      <c r="M8" s="9"/>
      <c r="N8" s="9"/>
      <c r="O8" s="9"/>
      <c r="P8" s="9"/>
      <c r="Q8" s="9"/>
      <c r="R8" s="9"/>
      <c r="S8" s="9"/>
      <c r="T8" s="9"/>
      <c r="U8" s="9"/>
      <c r="V8" s="9"/>
      <c r="W8" s="9"/>
      <c r="X8" s="9"/>
      <c r="Y8" s="9"/>
      <c r="Z8" s="9"/>
    </row>
    <row r="9" ht="30.0" hidden="1" customHeight="1">
      <c r="A9" s="107" t="s">
        <v>247</v>
      </c>
      <c r="B9" s="108" t="s">
        <v>180</v>
      </c>
      <c r="C9" s="108" t="s">
        <v>248</v>
      </c>
      <c r="D9" s="108" t="str">
        <f t="shared" si="1"/>
        <v>2025</v>
      </c>
      <c r="E9" s="108" t="s">
        <v>249</v>
      </c>
      <c r="F9" s="108" t="s">
        <v>250</v>
      </c>
      <c r="G9" s="108" t="s">
        <v>251</v>
      </c>
      <c r="H9" s="108" t="s">
        <v>252</v>
      </c>
      <c r="I9" s="108" t="s">
        <v>253</v>
      </c>
      <c r="J9" s="108" t="s">
        <v>254</v>
      </c>
      <c r="K9" s="108" t="s">
        <v>255</v>
      </c>
      <c r="L9" s="108" t="s">
        <v>256</v>
      </c>
      <c r="M9" s="9"/>
      <c r="N9" s="9"/>
      <c r="O9" s="9"/>
      <c r="P9" s="9"/>
      <c r="Q9" s="9"/>
      <c r="R9" s="9"/>
      <c r="S9" s="9"/>
      <c r="T9" s="9"/>
      <c r="U9" s="9"/>
      <c r="V9" s="9"/>
      <c r="W9" s="9"/>
      <c r="X9" s="9"/>
      <c r="Y9" s="9"/>
      <c r="Z9" s="9"/>
    </row>
    <row r="10" ht="30.0" hidden="1" customHeight="1">
      <c r="A10" s="107" t="s">
        <v>257</v>
      </c>
      <c r="B10" s="108" t="s">
        <v>180</v>
      </c>
      <c r="C10" s="108" t="s">
        <v>258</v>
      </c>
      <c r="D10" s="108" t="str">
        <f t="shared" si="1"/>
        <v>2025</v>
      </c>
      <c r="E10" s="108" t="s">
        <v>259</v>
      </c>
      <c r="F10" s="108" t="s">
        <v>260</v>
      </c>
      <c r="G10" s="108" t="s">
        <v>261</v>
      </c>
      <c r="H10" s="108" t="s">
        <v>262</v>
      </c>
      <c r="I10" s="108" t="s">
        <v>263</v>
      </c>
      <c r="J10" s="108" t="s">
        <v>264</v>
      </c>
      <c r="K10" s="108" t="s">
        <v>265</v>
      </c>
      <c r="L10" s="108" t="s">
        <v>266</v>
      </c>
      <c r="M10" s="9"/>
      <c r="N10" s="9"/>
      <c r="O10" s="9"/>
      <c r="P10" s="9"/>
      <c r="Q10" s="9"/>
      <c r="R10" s="9"/>
      <c r="S10" s="9"/>
      <c r="T10" s="9"/>
      <c r="U10" s="9"/>
      <c r="V10" s="9"/>
      <c r="W10" s="9"/>
      <c r="X10" s="9"/>
      <c r="Y10" s="9"/>
      <c r="Z10" s="9"/>
    </row>
    <row r="11" ht="30.0" customHeight="1">
      <c r="A11" s="107" t="s">
        <v>267</v>
      </c>
      <c r="B11" s="108" t="s">
        <v>268</v>
      </c>
      <c r="C11" s="108" t="s">
        <v>269</v>
      </c>
      <c r="D11" s="108" t="str">
        <f t="shared" si="1"/>
        <v>2026</v>
      </c>
      <c r="E11" s="108" t="s">
        <v>270</v>
      </c>
      <c r="F11" s="108" t="s">
        <v>271</v>
      </c>
      <c r="G11" s="108" t="s">
        <v>272</v>
      </c>
      <c r="H11" s="108" t="s">
        <v>273</v>
      </c>
      <c r="I11" s="108" t="s">
        <v>274</v>
      </c>
      <c r="J11" s="108" t="s">
        <v>275</v>
      </c>
      <c r="K11" s="108" t="s">
        <v>276</v>
      </c>
      <c r="L11" s="108" t="s">
        <v>277</v>
      </c>
      <c r="M11" s="9"/>
      <c r="N11" s="9"/>
      <c r="O11" s="9"/>
      <c r="P11" s="9"/>
      <c r="Q11" s="9"/>
      <c r="R11" s="9"/>
      <c r="S11" s="9"/>
      <c r="T11" s="9"/>
      <c r="U11" s="9"/>
      <c r="V11" s="9"/>
      <c r="W11" s="9"/>
      <c r="X11" s="9"/>
      <c r="Y11" s="9"/>
      <c r="Z11" s="9"/>
    </row>
    <row r="12" ht="30.0" hidden="1" customHeight="1">
      <c r="A12" s="107" t="s">
        <v>278</v>
      </c>
      <c r="B12" s="108" t="s">
        <v>279</v>
      </c>
      <c r="C12" s="108" t="s">
        <v>280</v>
      </c>
      <c r="D12" s="108" t="str">
        <f t="shared" si="1"/>
        <v>2026</v>
      </c>
      <c r="E12" s="108" t="s">
        <v>281</v>
      </c>
      <c r="F12" s="108" t="s">
        <v>282</v>
      </c>
      <c r="G12" s="108" t="s">
        <v>283</v>
      </c>
      <c r="H12" s="108" t="s">
        <v>284</v>
      </c>
      <c r="I12" s="108" t="s">
        <v>285</v>
      </c>
      <c r="J12" s="108" t="s">
        <v>286</v>
      </c>
      <c r="K12" s="108" t="s">
        <v>287</v>
      </c>
      <c r="L12" s="108" t="s">
        <v>288</v>
      </c>
      <c r="M12" s="9"/>
      <c r="N12" s="9"/>
      <c r="O12" s="9"/>
      <c r="P12" s="9"/>
      <c r="Q12" s="9"/>
      <c r="R12" s="9"/>
      <c r="S12" s="9"/>
      <c r="T12" s="9"/>
      <c r="U12" s="9"/>
      <c r="V12" s="9"/>
      <c r="W12" s="9"/>
      <c r="X12" s="9"/>
      <c r="Y12" s="9"/>
      <c r="Z12" s="9"/>
    </row>
    <row r="13" ht="30.0" customHeight="1">
      <c r="A13" s="107" t="s">
        <v>289</v>
      </c>
      <c r="B13" s="108" t="s">
        <v>290</v>
      </c>
      <c r="C13" s="108" t="s">
        <v>291</v>
      </c>
      <c r="D13" s="108" t="str">
        <f t="shared" si="1"/>
        <v>2026</v>
      </c>
      <c r="E13" s="108" t="s">
        <v>292</v>
      </c>
      <c r="F13" s="108" t="s">
        <v>293</v>
      </c>
      <c r="G13" s="108" t="s">
        <v>294</v>
      </c>
      <c r="H13" s="108" t="s">
        <v>295</v>
      </c>
      <c r="I13" s="108" t="s">
        <v>296</v>
      </c>
      <c r="J13" s="108" t="s">
        <v>297</v>
      </c>
      <c r="K13" s="108" t="s">
        <v>298</v>
      </c>
      <c r="L13" s="108" t="s">
        <v>299</v>
      </c>
      <c r="M13" s="9"/>
      <c r="N13" s="9"/>
      <c r="O13" s="9"/>
      <c r="P13" s="9"/>
      <c r="Q13" s="9"/>
      <c r="R13" s="9"/>
      <c r="S13" s="9"/>
      <c r="T13" s="9"/>
      <c r="U13" s="9"/>
      <c r="V13" s="9"/>
      <c r="W13" s="9"/>
      <c r="X13" s="9"/>
      <c r="Y13" s="9"/>
      <c r="Z13" s="9"/>
    </row>
    <row r="14" ht="30.0" hidden="1" customHeight="1">
      <c r="A14" s="107" t="s">
        <v>300</v>
      </c>
      <c r="B14" s="108" t="s">
        <v>181</v>
      </c>
      <c r="C14" s="108" t="s">
        <v>301</v>
      </c>
      <c r="D14" s="108" t="str">
        <f t="shared" si="1"/>
        <v>ound</v>
      </c>
      <c r="E14" s="108" t="s">
        <v>302</v>
      </c>
      <c r="F14" s="108" t="s">
        <v>303</v>
      </c>
      <c r="G14" s="108" t="s">
        <v>304</v>
      </c>
      <c r="H14" s="108" t="s">
        <v>305</v>
      </c>
      <c r="I14" s="108" t="s">
        <v>306</v>
      </c>
      <c r="J14" s="108" t="s">
        <v>307</v>
      </c>
      <c r="K14" s="108" t="s">
        <v>308</v>
      </c>
      <c r="L14" s="108" t="s">
        <v>309</v>
      </c>
      <c r="M14" s="9"/>
      <c r="N14" s="9"/>
      <c r="O14" s="9"/>
      <c r="P14" s="9"/>
      <c r="Q14" s="9"/>
      <c r="R14" s="9"/>
      <c r="S14" s="9"/>
      <c r="T14" s="9"/>
      <c r="U14" s="9"/>
      <c r="V14" s="9"/>
      <c r="W14" s="9"/>
      <c r="X14" s="9"/>
      <c r="Y14" s="9"/>
      <c r="Z14" s="9"/>
    </row>
    <row r="15" ht="30.0" hidden="1" customHeight="1">
      <c r="A15" s="107" t="s">
        <v>310</v>
      </c>
      <c r="B15" s="108" t="s">
        <v>279</v>
      </c>
      <c r="C15" s="108" t="s">
        <v>311</v>
      </c>
      <c r="D15" s="108" t="str">
        <f t="shared" si="1"/>
        <v>2026</v>
      </c>
      <c r="E15" s="108" t="s">
        <v>312</v>
      </c>
      <c r="F15" s="108" t="s">
        <v>313</v>
      </c>
      <c r="G15" s="108" t="s">
        <v>314</v>
      </c>
      <c r="H15" s="108" t="s">
        <v>315</v>
      </c>
      <c r="I15" s="108" t="s">
        <v>316</v>
      </c>
      <c r="J15" s="108" t="s">
        <v>317</v>
      </c>
      <c r="K15" s="108" t="s">
        <v>318</v>
      </c>
      <c r="L15" s="108" t="s">
        <v>319</v>
      </c>
      <c r="M15" s="9"/>
      <c r="N15" s="9"/>
      <c r="O15" s="9"/>
      <c r="P15" s="9"/>
      <c r="Q15" s="9"/>
      <c r="R15" s="9"/>
      <c r="S15" s="9"/>
      <c r="T15" s="9"/>
      <c r="U15" s="9"/>
      <c r="V15" s="9"/>
      <c r="W15" s="9"/>
      <c r="X15" s="9"/>
      <c r="Y15" s="9"/>
      <c r="Z15" s="9"/>
    </row>
    <row r="16" ht="30.0" customHeight="1">
      <c r="A16" s="107" t="s">
        <v>320</v>
      </c>
      <c r="B16" s="108" t="s">
        <v>290</v>
      </c>
      <c r="C16" s="108" t="s">
        <v>321</v>
      </c>
      <c r="D16" s="108" t="str">
        <f t="shared" si="1"/>
        <v>2026</v>
      </c>
      <c r="E16" s="108" t="s">
        <v>322</v>
      </c>
      <c r="F16" s="108" t="s">
        <v>323</v>
      </c>
      <c r="G16" s="108" t="s">
        <v>324</v>
      </c>
      <c r="H16" s="108" t="s">
        <v>325</v>
      </c>
      <c r="I16" s="108" t="s">
        <v>326</v>
      </c>
      <c r="J16" s="108" t="s">
        <v>327</v>
      </c>
      <c r="K16" s="108" t="s">
        <v>328</v>
      </c>
      <c r="L16" s="108" t="s">
        <v>329</v>
      </c>
      <c r="M16" s="9"/>
      <c r="N16" s="9"/>
      <c r="O16" s="9"/>
      <c r="P16" s="9"/>
      <c r="Q16" s="9"/>
      <c r="R16" s="9"/>
      <c r="S16" s="9"/>
      <c r="T16" s="9"/>
      <c r="U16" s="9"/>
      <c r="V16" s="9"/>
      <c r="W16" s="9"/>
      <c r="X16" s="9"/>
      <c r="Y16" s="9"/>
      <c r="Z16" s="9"/>
    </row>
    <row r="17" ht="30.0" hidden="1" customHeight="1">
      <c r="A17" s="107" t="s">
        <v>330</v>
      </c>
      <c r="B17" s="108" t="s">
        <v>331</v>
      </c>
      <c r="C17" s="108" t="s">
        <v>332</v>
      </c>
      <c r="D17" s="108" t="str">
        <f t="shared" si="1"/>
        <v>2025</v>
      </c>
      <c r="E17" s="108" t="s">
        <v>333</v>
      </c>
      <c r="F17" s="108" t="s">
        <v>334</v>
      </c>
      <c r="G17" s="108" t="s">
        <v>335</v>
      </c>
      <c r="H17" s="108" t="s">
        <v>336</v>
      </c>
      <c r="I17" s="108" t="s">
        <v>337</v>
      </c>
      <c r="J17" s="108" t="s">
        <v>338</v>
      </c>
      <c r="K17" s="108" t="s">
        <v>339</v>
      </c>
      <c r="L17" s="108" t="s">
        <v>340</v>
      </c>
      <c r="M17" s="9"/>
      <c r="N17" s="9"/>
      <c r="O17" s="9"/>
      <c r="P17" s="9"/>
      <c r="Q17" s="9"/>
      <c r="R17" s="9"/>
      <c r="S17" s="9"/>
      <c r="T17" s="9"/>
      <c r="U17" s="9"/>
      <c r="V17" s="9"/>
      <c r="W17" s="9"/>
      <c r="X17" s="9"/>
      <c r="Y17" s="9"/>
      <c r="Z17" s="9"/>
    </row>
    <row r="18" ht="30.0" hidden="1" customHeight="1">
      <c r="A18" s="107" t="s">
        <v>341</v>
      </c>
      <c r="B18" s="108" t="s">
        <v>331</v>
      </c>
      <c r="C18" s="108" t="s">
        <v>332</v>
      </c>
      <c r="D18" s="108" t="str">
        <f t="shared" si="1"/>
        <v>2025</v>
      </c>
      <c r="E18" s="108" t="s">
        <v>342</v>
      </c>
      <c r="F18" s="108" t="s">
        <v>343</v>
      </c>
      <c r="G18" s="108" t="s">
        <v>344</v>
      </c>
      <c r="H18" s="108" t="s">
        <v>345</v>
      </c>
      <c r="I18" s="108" t="s">
        <v>346</v>
      </c>
      <c r="J18" s="108" t="s">
        <v>347</v>
      </c>
      <c r="K18" s="108" t="s">
        <v>348</v>
      </c>
      <c r="L18" s="108" t="s">
        <v>349</v>
      </c>
      <c r="M18" s="9"/>
      <c r="N18" s="9"/>
      <c r="O18" s="9"/>
      <c r="P18" s="9"/>
      <c r="Q18" s="9"/>
      <c r="R18" s="9"/>
      <c r="S18" s="9"/>
      <c r="T18" s="9"/>
      <c r="U18" s="9"/>
      <c r="V18" s="9"/>
      <c r="W18" s="9"/>
      <c r="X18" s="9"/>
      <c r="Y18" s="9"/>
      <c r="Z18" s="9"/>
    </row>
    <row r="19" ht="30.0" hidden="1" customHeight="1">
      <c r="A19" s="107" t="s">
        <v>350</v>
      </c>
      <c r="B19" s="108" t="s">
        <v>279</v>
      </c>
      <c r="C19" s="108" t="s">
        <v>351</v>
      </c>
      <c r="D19" s="108" t="str">
        <f t="shared" si="1"/>
        <v>2025</v>
      </c>
      <c r="E19" s="108" t="s">
        <v>352</v>
      </c>
      <c r="F19" s="108" t="s">
        <v>353</v>
      </c>
      <c r="G19" s="108" t="s">
        <v>354</v>
      </c>
      <c r="H19" s="108" t="s">
        <v>355</v>
      </c>
      <c r="I19" s="108" t="s">
        <v>356</v>
      </c>
      <c r="J19" s="108" t="s">
        <v>357</v>
      </c>
      <c r="K19" s="108" t="s">
        <v>358</v>
      </c>
      <c r="L19" s="108" t="s">
        <v>359</v>
      </c>
      <c r="M19" s="9"/>
      <c r="N19" s="9"/>
      <c r="O19" s="9"/>
      <c r="P19" s="9"/>
      <c r="Q19" s="9"/>
      <c r="R19" s="9"/>
      <c r="S19" s="9"/>
      <c r="T19" s="9"/>
      <c r="U19" s="9"/>
      <c r="V19" s="9"/>
      <c r="W19" s="9"/>
      <c r="X19" s="9"/>
      <c r="Y19" s="9"/>
      <c r="Z19" s="9"/>
    </row>
    <row r="20" ht="30.0" hidden="1" customHeight="1">
      <c r="A20" s="107" t="s">
        <v>360</v>
      </c>
      <c r="B20" s="108" t="s">
        <v>290</v>
      </c>
      <c r="C20" s="108" t="s">
        <v>361</v>
      </c>
      <c r="D20" s="108" t="str">
        <f t="shared" si="1"/>
        <v>2025</v>
      </c>
      <c r="E20" s="108" t="s">
        <v>362</v>
      </c>
      <c r="F20" s="108" t="s">
        <v>363</v>
      </c>
      <c r="G20" s="108" t="s">
        <v>364</v>
      </c>
      <c r="H20" s="108" t="s">
        <v>365</v>
      </c>
      <c r="I20" s="108" t="s">
        <v>366</v>
      </c>
      <c r="J20" s="108" t="s">
        <v>367</v>
      </c>
      <c r="K20" s="108" t="s">
        <v>368</v>
      </c>
      <c r="L20" s="108" t="s">
        <v>369</v>
      </c>
      <c r="M20" s="9"/>
      <c r="N20" s="9"/>
      <c r="O20" s="9"/>
      <c r="P20" s="9"/>
      <c r="Q20" s="9"/>
      <c r="R20" s="9"/>
      <c r="S20" s="9"/>
      <c r="T20" s="9"/>
      <c r="U20" s="9"/>
      <c r="V20" s="9"/>
      <c r="W20" s="9"/>
      <c r="X20" s="9"/>
      <c r="Y20" s="9"/>
      <c r="Z20" s="9"/>
    </row>
    <row r="21" ht="30.0" hidden="1" customHeight="1">
      <c r="A21" s="107" t="s">
        <v>370</v>
      </c>
      <c r="B21" s="108" t="s">
        <v>279</v>
      </c>
      <c r="C21" s="108" t="s">
        <v>371</v>
      </c>
      <c r="D21" s="108" t="str">
        <f t="shared" si="1"/>
        <v>2025</v>
      </c>
      <c r="E21" s="108" t="s">
        <v>372</v>
      </c>
      <c r="F21" s="108" t="s">
        <v>373</v>
      </c>
      <c r="G21" s="108" t="s">
        <v>374</v>
      </c>
      <c r="H21" s="108" t="s">
        <v>375</v>
      </c>
      <c r="I21" s="108" t="s">
        <v>376</v>
      </c>
      <c r="J21" s="108" t="s">
        <v>377</v>
      </c>
      <c r="K21" s="108" t="s">
        <v>378</v>
      </c>
      <c r="L21" s="108" t="s">
        <v>379</v>
      </c>
      <c r="M21" s="9"/>
      <c r="N21" s="9"/>
      <c r="O21" s="9"/>
      <c r="P21" s="9"/>
      <c r="Q21" s="9"/>
      <c r="R21" s="9"/>
      <c r="S21" s="9"/>
      <c r="T21" s="9"/>
      <c r="U21" s="9"/>
      <c r="V21" s="9"/>
      <c r="W21" s="9"/>
      <c r="X21" s="9"/>
      <c r="Y21" s="9"/>
      <c r="Z21" s="9"/>
    </row>
    <row r="22" ht="30.0" hidden="1" customHeight="1">
      <c r="A22" s="107" t="s">
        <v>380</v>
      </c>
      <c r="B22" s="108" t="s">
        <v>290</v>
      </c>
      <c r="C22" s="108" t="s">
        <v>381</v>
      </c>
      <c r="D22" s="108" t="str">
        <f t="shared" si="1"/>
        <v>2025</v>
      </c>
      <c r="E22" s="108" t="s">
        <v>382</v>
      </c>
      <c r="F22" s="108" t="s">
        <v>383</v>
      </c>
      <c r="G22" s="108" t="s">
        <v>384</v>
      </c>
      <c r="H22" s="108" t="s">
        <v>385</v>
      </c>
      <c r="I22" s="108" t="s">
        <v>386</v>
      </c>
      <c r="J22" s="108" t="s">
        <v>387</v>
      </c>
      <c r="K22" s="108" t="s">
        <v>388</v>
      </c>
      <c r="L22" s="108" t="s">
        <v>389</v>
      </c>
      <c r="M22" s="9"/>
      <c r="N22" s="9"/>
      <c r="O22" s="9"/>
      <c r="P22" s="9"/>
      <c r="Q22" s="9"/>
      <c r="R22" s="9"/>
      <c r="S22" s="9"/>
      <c r="T22" s="9"/>
      <c r="U22" s="9"/>
      <c r="V22" s="9"/>
      <c r="W22" s="9"/>
      <c r="X22" s="9"/>
      <c r="Y22" s="9"/>
      <c r="Z22" s="9"/>
    </row>
    <row r="23" ht="30.0" hidden="1" customHeight="1">
      <c r="A23" s="107" t="s">
        <v>390</v>
      </c>
      <c r="B23" s="108" t="s">
        <v>331</v>
      </c>
      <c r="C23" s="108" t="s">
        <v>391</v>
      </c>
      <c r="D23" s="108" t="str">
        <f t="shared" si="1"/>
        <v>2025</v>
      </c>
      <c r="E23" s="108" t="s">
        <v>392</v>
      </c>
      <c r="F23" s="108" t="s">
        <v>393</v>
      </c>
      <c r="G23" s="108" t="s">
        <v>394</v>
      </c>
      <c r="H23" s="108" t="s">
        <v>395</v>
      </c>
      <c r="I23" s="108" t="s">
        <v>396</v>
      </c>
      <c r="J23" s="108" t="s">
        <v>397</v>
      </c>
      <c r="K23" s="108" t="s">
        <v>398</v>
      </c>
      <c r="L23" s="108" t="s">
        <v>399</v>
      </c>
      <c r="M23" s="9"/>
      <c r="N23" s="9"/>
      <c r="O23" s="9"/>
      <c r="P23" s="9"/>
      <c r="Q23" s="9"/>
      <c r="R23" s="9"/>
      <c r="S23" s="9"/>
      <c r="T23" s="9"/>
      <c r="U23" s="9"/>
      <c r="V23" s="9"/>
      <c r="W23" s="9"/>
      <c r="X23" s="9"/>
      <c r="Y23" s="9"/>
      <c r="Z23" s="9"/>
    </row>
    <row r="24" ht="30.0" hidden="1" customHeight="1">
      <c r="A24" s="107" t="s">
        <v>400</v>
      </c>
      <c r="B24" s="108" t="s">
        <v>279</v>
      </c>
      <c r="C24" s="108" t="s">
        <v>248</v>
      </c>
      <c r="D24" s="108" t="str">
        <f t="shared" si="1"/>
        <v>2025</v>
      </c>
      <c r="E24" s="108" t="s">
        <v>401</v>
      </c>
      <c r="F24" s="108" t="s">
        <v>402</v>
      </c>
      <c r="G24" s="108" t="s">
        <v>403</v>
      </c>
      <c r="H24" s="108" t="s">
        <v>404</v>
      </c>
      <c r="I24" s="108" t="s">
        <v>405</v>
      </c>
      <c r="J24" s="108" t="s">
        <v>406</v>
      </c>
      <c r="K24" s="108" t="s">
        <v>407</v>
      </c>
      <c r="L24" s="108" t="s">
        <v>408</v>
      </c>
      <c r="M24" s="9"/>
      <c r="N24" s="9"/>
      <c r="O24" s="9"/>
      <c r="P24" s="9"/>
      <c r="Q24" s="9"/>
      <c r="R24" s="9"/>
      <c r="S24" s="9"/>
      <c r="T24" s="9"/>
      <c r="U24" s="9"/>
      <c r="V24" s="9"/>
      <c r="W24" s="9"/>
      <c r="X24" s="9"/>
      <c r="Y24" s="9"/>
      <c r="Z24" s="9"/>
    </row>
    <row r="25" ht="30.0" hidden="1" customHeight="1">
      <c r="A25" s="107" t="s">
        <v>409</v>
      </c>
      <c r="B25" s="108" t="s">
        <v>290</v>
      </c>
      <c r="C25" s="108" t="s">
        <v>410</v>
      </c>
      <c r="D25" s="108" t="str">
        <f t="shared" si="1"/>
        <v>2025</v>
      </c>
      <c r="E25" s="108" t="s">
        <v>411</v>
      </c>
      <c r="F25" s="108" t="s">
        <v>412</v>
      </c>
      <c r="G25" s="108" t="s">
        <v>413</v>
      </c>
      <c r="H25" s="108" t="s">
        <v>414</v>
      </c>
      <c r="I25" s="108" t="s">
        <v>415</v>
      </c>
      <c r="J25" s="108" t="s">
        <v>416</v>
      </c>
      <c r="K25" s="108" t="s">
        <v>417</v>
      </c>
      <c r="L25" s="108" t="s">
        <v>418</v>
      </c>
      <c r="M25" s="9"/>
      <c r="N25" s="9"/>
      <c r="O25" s="9"/>
      <c r="P25" s="9"/>
      <c r="Q25" s="9"/>
      <c r="R25" s="9"/>
      <c r="S25" s="9"/>
      <c r="T25" s="9"/>
      <c r="U25" s="9"/>
      <c r="V25" s="9"/>
      <c r="W25" s="9"/>
      <c r="X25" s="9"/>
      <c r="Y25" s="9"/>
      <c r="Z25" s="9"/>
    </row>
    <row r="26" ht="30.0" hidden="1" customHeight="1">
      <c r="A26" s="107" t="s">
        <v>419</v>
      </c>
      <c r="B26" s="108" t="s">
        <v>279</v>
      </c>
      <c r="C26" s="108" t="s">
        <v>420</v>
      </c>
      <c r="D26" s="108" t="str">
        <f t="shared" si="1"/>
        <v>2025</v>
      </c>
      <c r="E26" s="108" t="s">
        <v>421</v>
      </c>
      <c r="F26" s="108" t="s">
        <v>422</v>
      </c>
      <c r="G26" s="108" t="s">
        <v>423</v>
      </c>
      <c r="H26" s="108" t="s">
        <v>424</v>
      </c>
      <c r="I26" s="108" t="s">
        <v>425</v>
      </c>
      <c r="J26" s="108" t="s">
        <v>426</v>
      </c>
      <c r="K26" s="108" t="s">
        <v>427</v>
      </c>
      <c r="L26" s="108" t="s">
        <v>428</v>
      </c>
      <c r="M26" s="9"/>
      <c r="N26" s="9"/>
      <c r="O26" s="9"/>
      <c r="P26" s="9"/>
      <c r="Q26" s="9"/>
      <c r="R26" s="9"/>
      <c r="S26" s="9"/>
      <c r="T26" s="9"/>
      <c r="U26" s="9"/>
      <c r="V26" s="9"/>
      <c r="W26" s="9"/>
      <c r="X26" s="9"/>
      <c r="Y26" s="9"/>
      <c r="Z26" s="9"/>
    </row>
    <row r="27" ht="30.0" hidden="1" customHeight="1">
      <c r="A27" s="107" t="s">
        <v>429</v>
      </c>
      <c r="B27" s="108" t="s">
        <v>290</v>
      </c>
      <c r="C27" s="108" t="s">
        <v>430</v>
      </c>
      <c r="D27" s="108" t="str">
        <f t="shared" si="1"/>
        <v>2025</v>
      </c>
      <c r="E27" s="108" t="s">
        <v>431</v>
      </c>
      <c r="F27" s="108" t="s">
        <v>432</v>
      </c>
      <c r="G27" s="108" t="s">
        <v>433</v>
      </c>
      <c r="H27" s="108" t="s">
        <v>434</v>
      </c>
      <c r="I27" s="108" t="s">
        <v>435</v>
      </c>
      <c r="J27" s="108" t="s">
        <v>436</v>
      </c>
      <c r="K27" s="108" t="s">
        <v>437</v>
      </c>
      <c r="L27" s="108" t="s">
        <v>438</v>
      </c>
      <c r="M27" s="9"/>
      <c r="N27" s="9"/>
      <c r="O27" s="9"/>
      <c r="P27" s="9"/>
      <c r="Q27" s="9"/>
      <c r="R27" s="9"/>
      <c r="S27" s="9"/>
      <c r="T27" s="9"/>
      <c r="U27" s="9"/>
      <c r="V27" s="9"/>
      <c r="W27" s="9"/>
      <c r="X27" s="9"/>
      <c r="Y27" s="9"/>
      <c r="Z27" s="9"/>
    </row>
    <row r="28" ht="30.0" hidden="1" customHeight="1">
      <c r="A28" s="107" t="s">
        <v>439</v>
      </c>
      <c r="B28" s="108" t="s">
        <v>331</v>
      </c>
      <c r="C28" s="108" t="s">
        <v>440</v>
      </c>
      <c r="D28" s="108" t="str">
        <f t="shared" si="1"/>
        <v>2024</v>
      </c>
      <c r="E28" s="108" t="s">
        <v>441</v>
      </c>
      <c r="F28" s="108" t="s">
        <v>442</v>
      </c>
      <c r="G28" s="108" t="s">
        <v>443</v>
      </c>
      <c r="H28" s="108" t="s">
        <v>444</v>
      </c>
      <c r="I28" s="108" t="s">
        <v>445</v>
      </c>
      <c r="J28" s="108" t="s">
        <v>446</v>
      </c>
      <c r="K28" s="108" t="s">
        <v>447</v>
      </c>
      <c r="L28" s="108" t="s">
        <v>448</v>
      </c>
      <c r="M28" s="9"/>
      <c r="N28" s="9"/>
      <c r="O28" s="9"/>
      <c r="P28" s="9"/>
      <c r="Q28" s="9"/>
      <c r="R28" s="9"/>
      <c r="S28" s="9"/>
      <c r="T28" s="9"/>
      <c r="U28" s="9"/>
      <c r="V28" s="9"/>
      <c r="W28" s="9"/>
      <c r="X28" s="9"/>
      <c r="Y28" s="9"/>
      <c r="Z28" s="9"/>
    </row>
    <row r="29" ht="30.0" hidden="1" customHeight="1">
      <c r="A29" s="107" t="s">
        <v>449</v>
      </c>
      <c r="B29" s="108" t="s">
        <v>279</v>
      </c>
      <c r="C29" s="108" t="s">
        <v>450</v>
      </c>
      <c r="D29" s="108" t="str">
        <f t="shared" si="1"/>
        <v>2024</v>
      </c>
      <c r="E29" s="108" t="s">
        <v>451</v>
      </c>
      <c r="F29" s="108" t="s">
        <v>452</v>
      </c>
      <c r="G29" s="108" t="s">
        <v>453</v>
      </c>
      <c r="H29" s="108" t="s">
        <v>454</v>
      </c>
      <c r="I29" s="108" t="s">
        <v>455</v>
      </c>
      <c r="J29" s="108" t="s">
        <v>456</v>
      </c>
      <c r="K29" s="108" t="s">
        <v>457</v>
      </c>
      <c r="L29" s="108" t="s">
        <v>458</v>
      </c>
      <c r="M29" s="9"/>
      <c r="N29" s="9"/>
      <c r="O29" s="9"/>
      <c r="P29" s="9"/>
      <c r="Q29" s="9"/>
      <c r="R29" s="9"/>
      <c r="S29" s="9"/>
      <c r="T29" s="9"/>
      <c r="U29" s="9"/>
      <c r="V29" s="9"/>
      <c r="W29" s="9"/>
      <c r="X29" s="9"/>
      <c r="Y29" s="9"/>
      <c r="Z29" s="9"/>
    </row>
    <row r="30" ht="30.0" hidden="1" customHeight="1">
      <c r="A30" s="107" t="s">
        <v>459</v>
      </c>
      <c r="B30" s="108" t="s">
        <v>268</v>
      </c>
      <c r="C30" s="108" t="s">
        <v>450</v>
      </c>
      <c r="D30" s="108" t="str">
        <f t="shared" si="1"/>
        <v>2024</v>
      </c>
      <c r="E30" s="108" t="s">
        <v>460</v>
      </c>
      <c r="F30" s="108" t="s">
        <v>461</v>
      </c>
      <c r="G30" s="108" t="s">
        <v>462</v>
      </c>
      <c r="H30" s="108" t="s">
        <v>463</v>
      </c>
      <c r="I30" s="108" t="s">
        <v>464</v>
      </c>
      <c r="J30" s="108" t="s">
        <v>465</v>
      </c>
      <c r="K30" s="108" t="s">
        <v>466</v>
      </c>
      <c r="L30" s="108" t="s">
        <v>467</v>
      </c>
      <c r="M30" s="9"/>
      <c r="N30" s="9"/>
      <c r="O30" s="9"/>
      <c r="P30" s="9"/>
      <c r="Q30" s="9"/>
      <c r="R30" s="9"/>
      <c r="S30" s="9"/>
      <c r="T30" s="9"/>
      <c r="U30" s="9"/>
      <c r="V30" s="9"/>
      <c r="W30" s="9"/>
      <c r="X30" s="9"/>
      <c r="Y30" s="9"/>
      <c r="Z30" s="9"/>
    </row>
    <row r="31" ht="30.0" customHeight="1">
      <c r="A31" s="107" t="s">
        <v>468</v>
      </c>
      <c r="B31" s="108" t="s">
        <v>469</v>
      </c>
      <c r="C31" s="108" t="s">
        <v>470</v>
      </c>
      <c r="D31" s="108" t="str">
        <f t="shared" si="1"/>
        <v>2026</v>
      </c>
      <c r="E31" s="108" t="s">
        <v>471</v>
      </c>
      <c r="F31" s="108" t="s">
        <v>472</v>
      </c>
      <c r="G31" s="108" t="s">
        <v>473</v>
      </c>
      <c r="H31" s="108" t="s">
        <v>474</v>
      </c>
      <c r="I31" s="108" t="s">
        <v>475</v>
      </c>
      <c r="J31" s="108" t="s">
        <v>476</v>
      </c>
      <c r="K31" s="108" t="s">
        <v>477</v>
      </c>
      <c r="L31" s="108" t="s">
        <v>478</v>
      </c>
      <c r="M31" s="9"/>
      <c r="N31" s="9"/>
      <c r="O31" s="9"/>
      <c r="P31" s="9"/>
      <c r="Q31" s="9"/>
      <c r="R31" s="9"/>
      <c r="S31" s="9"/>
      <c r="T31" s="9"/>
      <c r="U31" s="9"/>
      <c r="V31" s="9"/>
      <c r="W31" s="9"/>
      <c r="X31" s="9"/>
      <c r="Y31" s="9"/>
      <c r="Z31" s="9"/>
    </row>
    <row r="32" ht="30.0" customHeight="1">
      <c r="A32" s="107" t="s">
        <v>479</v>
      </c>
      <c r="B32" s="108" t="s">
        <v>480</v>
      </c>
      <c r="C32" s="108" t="s">
        <v>321</v>
      </c>
      <c r="D32" s="108" t="str">
        <f t="shared" si="1"/>
        <v>2026</v>
      </c>
      <c r="E32" s="108" t="s">
        <v>481</v>
      </c>
      <c r="F32" s="108" t="s">
        <v>482</v>
      </c>
      <c r="G32" s="108" t="s">
        <v>483</v>
      </c>
      <c r="H32" s="108" t="s">
        <v>484</v>
      </c>
      <c r="I32" s="108" t="s">
        <v>485</v>
      </c>
      <c r="J32" s="108" t="s">
        <v>486</v>
      </c>
      <c r="K32" s="108" t="s">
        <v>487</v>
      </c>
      <c r="L32" s="108" t="s">
        <v>488</v>
      </c>
      <c r="M32" s="9"/>
      <c r="N32" s="9"/>
      <c r="O32" s="9"/>
      <c r="P32" s="9"/>
      <c r="Q32" s="9"/>
      <c r="R32" s="9"/>
      <c r="S32" s="9"/>
      <c r="T32" s="9"/>
      <c r="U32" s="9"/>
      <c r="V32" s="9"/>
      <c r="W32" s="9"/>
      <c r="X32" s="9"/>
      <c r="Y32" s="9"/>
      <c r="Z32" s="9"/>
    </row>
    <row r="33" ht="30.0" hidden="1" customHeight="1">
      <c r="A33" s="107" t="s">
        <v>489</v>
      </c>
      <c r="B33" s="108" t="s">
        <v>490</v>
      </c>
      <c r="C33" s="108" t="s">
        <v>332</v>
      </c>
      <c r="D33" s="108" t="str">
        <f t="shared" si="1"/>
        <v>2025</v>
      </c>
      <c r="E33" s="108" t="s">
        <v>491</v>
      </c>
      <c r="F33" s="108" t="s">
        <v>492</v>
      </c>
      <c r="G33" s="108" t="s">
        <v>493</v>
      </c>
      <c r="H33" s="108" t="s">
        <v>494</v>
      </c>
      <c r="I33" s="108" t="s">
        <v>495</v>
      </c>
      <c r="J33" s="108" t="s">
        <v>496</v>
      </c>
      <c r="K33" s="108" t="s">
        <v>497</v>
      </c>
      <c r="L33" s="108" t="s">
        <v>498</v>
      </c>
      <c r="M33" s="9"/>
      <c r="N33" s="9"/>
      <c r="O33" s="9"/>
      <c r="P33" s="9"/>
      <c r="Q33" s="9"/>
      <c r="R33" s="9"/>
      <c r="S33" s="9"/>
      <c r="T33" s="9"/>
      <c r="U33" s="9"/>
      <c r="V33" s="9"/>
      <c r="W33" s="9"/>
      <c r="X33" s="9"/>
      <c r="Y33" s="9"/>
      <c r="Z33" s="9"/>
    </row>
    <row r="34" ht="30.0" hidden="1" customHeight="1">
      <c r="A34" s="107" t="s">
        <v>499</v>
      </c>
      <c r="B34" s="108" t="s">
        <v>279</v>
      </c>
      <c r="C34" s="108" t="s">
        <v>351</v>
      </c>
      <c r="D34" s="108" t="str">
        <f t="shared" si="1"/>
        <v>2025</v>
      </c>
      <c r="E34" s="108" t="s">
        <v>500</v>
      </c>
      <c r="F34" s="108" t="s">
        <v>501</v>
      </c>
      <c r="G34" s="108" t="s">
        <v>301</v>
      </c>
      <c r="H34" s="108" t="s">
        <v>502</v>
      </c>
      <c r="I34" s="108" t="s">
        <v>503</v>
      </c>
      <c r="J34" s="108" t="s">
        <v>504</v>
      </c>
      <c r="K34" s="108" t="s">
        <v>505</v>
      </c>
      <c r="L34" s="108" t="s">
        <v>506</v>
      </c>
      <c r="M34" s="9"/>
      <c r="N34" s="9"/>
      <c r="O34" s="9"/>
      <c r="P34" s="9"/>
      <c r="Q34" s="9"/>
      <c r="R34" s="9"/>
      <c r="S34" s="9"/>
      <c r="T34" s="9"/>
      <c r="U34" s="9"/>
      <c r="V34" s="9"/>
      <c r="W34" s="9"/>
      <c r="X34" s="9"/>
      <c r="Y34" s="9"/>
      <c r="Z34" s="9"/>
    </row>
    <row r="35" ht="30.0" hidden="1" customHeight="1">
      <c r="A35" s="107" t="s">
        <v>507</v>
      </c>
      <c r="B35" s="108" t="s">
        <v>480</v>
      </c>
      <c r="C35" s="108" t="s">
        <v>381</v>
      </c>
      <c r="D35" s="108" t="str">
        <f t="shared" si="1"/>
        <v>2025</v>
      </c>
      <c r="E35" s="108" t="s">
        <v>508</v>
      </c>
      <c r="F35" s="108" t="s">
        <v>509</v>
      </c>
      <c r="G35" s="108" t="s">
        <v>510</v>
      </c>
      <c r="H35" s="108" t="s">
        <v>511</v>
      </c>
      <c r="I35" s="108" t="s">
        <v>512</v>
      </c>
      <c r="J35" s="108" t="s">
        <v>513</v>
      </c>
      <c r="K35" s="108" t="s">
        <v>514</v>
      </c>
      <c r="L35" s="108" t="s">
        <v>515</v>
      </c>
      <c r="M35" s="9"/>
      <c r="N35" s="9"/>
      <c r="O35" s="9"/>
      <c r="P35" s="9"/>
      <c r="Q35" s="9"/>
      <c r="R35" s="9"/>
      <c r="S35" s="9"/>
      <c r="T35" s="9"/>
      <c r="U35" s="9"/>
      <c r="V35" s="9"/>
      <c r="W35" s="9"/>
      <c r="X35" s="9"/>
      <c r="Y35" s="9"/>
      <c r="Z35" s="9"/>
    </row>
    <row r="36" ht="30.0" hidden="1" customHeight="1">
      <c r="A36" s="107" t="s">
        <v>516</v>
      </c>
      <c r="B36" s="108" t="s">
        <v>279</v>
      </c>
      <c r="C36" s="108" t="s">
        <v>517</v>
      </c>
      <c r="D36" s="108" t="str">
        <f t="shared" si="1"/>
        <v>2022</v>
      </c>
      <c r="E36" s="108" t="s">
        <v>518</v>
      </c>
      <c r="F36" s="108" t="s">
        <v>519</v>
      </c>
      <c r="G36" s="108" t="s">
        <v>520</v>
      </c>
      <c r="H36" s="108" t="s">
        <v>521</v>
      </c>
      <c r="I36" s="108" t="s">
        <v>522</v>
      </c>
      <c r="J36" s="108" t="s">
        <v>523</v>
      </c>
      <c r="K36" s="108" t="s">
        <v>524</v>
      </c>
      <c r="L36" s="108" t="s">
        <v>525</v>
      </c>
      <c r="M36" s="9"/>
      <c r="N36" s="9"/>
      <c r="O36" s="9"/>
      <c r="P36" s="9"/>
      <c r="Q36" s="9"/>
      <c r="R36" s="9"/>
      <c r="S36" s="9"/>
      <c r="T36" s="9"/>
      <c r="U36" s="9"/>
      <c r="V36" s="9"/>
      <c r="W36" s="9"/>
      <c r="X36" s="9"/>
      <c r="Y36" s="9"/>
      <c r="Z36" s="9"/>
    </row>
    <row r="37" ht="30.0" hidden="1" customHeight="1">
      <c r="A37" s="107" t="s">
        <v>526</v>
      </c>
      <c r="B37" s="108" t="s">
        <v>279</v>
      </c>
      <c r="C37" s="108" t="s">
        <v>527</v>
      </c>
      <c r="D37" s="108" t="str">
        <f t="shared" si="1"/>
        <v>2022</v>
      </c>
      <c r="E37" s="108" t="s">
        <v>528</v>
      </c>
      <c r="F37" s="108" t="s">
        <v>529</v>
      </c>
      <c r="G37" s="108" t="s">
        <v>530</v>
      </c>
      <c r="H37" s="108" t="s">
        <v>531</v>
      </c>
      <c r="I37" s="108" t="s">
        <v>532</v>
      </c>
      <c r="J37" s="108" t="s">
        <v>533</v>
      </c>
      <c r="K37" s="108" t="s">
        <v>534</v>
      </c>
      <c r="L37" s="108" t="s">
        <v>535</v>
      </c>
      <c r="M37" s="9"/>
      <c r="N37" s="9"/>
      <c r="O37" s="9"/>
      <c r="P37" s="9"/>
      <c r="Q37" s="9"/>
      <c r="R37" s="9"/>
      <c r="S37" s="9"/>
      <c r="T37" s="9"/>
      <c r="U37" s="9"/>
      <c r="V37" s="9"/>
      <c r="W37" s="9"/>
      <c r="X37" s="9"/>
      <c r="Y37" s="9"/>
      <c r="Z37" s="9"/>
    </row>
    <row r="38" ht="30.0" hidden="1" customHeight="1">
      <c r="A38" s="107" t="s">
        <v>536</v>
      </c>
      <c r="B38" s="108" t="s">
        <v>490</v>
      </c>
      <c r="C38" s="108" t="s">
        <v>537</v>
      </c>
      <c r="D38" s="108" t="str">
        <f t="shared" si="1"/>
        <v>2022</v>
      </c>
      <c r="E38" s="108" t="s">
        <v>538</v>
      </c>
      <c r="F38" s="108" t="s">
        <v>539</v>
      </c>
      <c r="G38" s="108" t="s">
        <v>540</v>
      </c>
      <c r="H38" s="108" t="s">
        <v>541</v>
      </c>
      <c r="I38" s="108" t="s">
        <v>542</v>
      </c>
      <c r="J38" s="108" t="s">
        <v>543</v>
      </c>
      <c r="K38" s="108" t="s">
        <v>544</v>
      </c>
      <c r="L38" s="108" t="s">
        <v>545</v>
      </c>
      <c r="M38" s="9"/>
      <c r="N38" s="9"/>
      <c r="O38" s="9"/>
      <c r="P38" s="9"/>
      <c r="Q38" s="9"/>
      <c r="R38" s="9"/>
      <c r="S38" s="9"/>
      <c r="T38" s="9"/>
      <c r="U38" s="9"/>
      <c r="V38" s="9"/>
      <c r="W38" s="9"/>
      <c r="X38" s="9"/>
      <c r="Y38" s="9"/>
      <c r="Z38" s="9"/>
    </row>
    <row r="39" ht="30.0" hidden="1" customHeight="1">
      <c r="A39" s="107" t="s">
        <v>546</v>
      </c>
      <c r="B39" s="108" t="s">
        <v>279</v>
      </c>
      <c r="C39" s="108" t="s">
        <v>547</v>
      </c>
      <c r="D39" s="108" t="str">
        <f t="shared" si="1"/>
        <v>2022</v>
      </c>
      <c r="E39" s="108" t="s">
        <v>548</v>
      </c>
      <c r="F39" s="108" t="s">
        <v>549</v>
      </c>
      <c r="G39" s="108" t="s">
        <v>550</v>
      </c>
      <c r="H39" s="108" t="s">
        <v>551</v>
      </c>
      <c r="I39" s="108" t="s">
        <v>552</v>
      </c>
      <c r="J39" s="108" t="s">
        <v>553</v>
      </c>
      <c r="K39" s="108" t="s">
        <v>554</v>
      </c>
      <c r="L39" s="108" t="s">
        <v>555</v>
      </c>
      <c r="M39" s="9"/>
      <c r="N39" s="9"/>
      <c r="O39" s="9"/>
      <c r="P39" s="9"/>
      <c r="Q39" s="9"/>
      <c r="R39" s="9"/>
      <c r="S39" s="9"/>
      <c r="T39" s="9"/>
      <c r="U39" s="9"/>
      <c r="V39" s="9"/>
      <c r="W39" s="9"/>
      <c r="X39" s="9"/>
      <c r="Y39" s="9"/>
      <c r="Z39" s="9"/>
    </row>
    <row r="40" ht="30.0" hidden="1" customHeight="1">
      <c r="A40" s="107" t="s">
        <v>556</v>
      </c>
      <c r="B40" s="108" t="s">
        <v>279</v>
      </c>
      <c r="C40" s="108" t="s">
        <v>557</v>
      </c>
      <c r="D40" s="108" t="str">
        <f t="shared" si="1"/>
        <v>2022</v>
      </c>
      <c r="E40" s="108" t="s">
        <v>558</v>
      </c>
      <c r="F40" s="108" t="s">
        <v>559</v>
      </c>
      <c r="G40" s="108" t="s">
        <v>560</v>
      </c>
      <c r="H40" s="108" t="s">
        <v>561</v>
      </c>
      <c r="I40" s="108" t="s">
        <v>562</v>
      </c>
      <c r="J40" s="108" t="s">
        <v>563</v>
      </c>
      <c r="K40" s="108" t="s">
        <v>564</v>
      </c>
      <c r="L40" s="108" t="s">
        <v>565</v>
      </c>
      <c r="M40" s="9"/>
      <c r="N40" s="9"/>
      <c r="O40" s="9"/>
      <c r="P40" s="9"/>
      <c r="Q40" s="9"/>
      <c r="R40" s="9"/>
      <c r="S40" s="9"/>
      <c r="T40" s="9"/>
      <c r="U40" s="9"/>
      <c r="V40" s="9"/>
      <c r="W40" s="9"/>
      <c r="X40" s="9"/>
      <c r="Y40" s="9"/>
      <c r="Z40" s="9"/>
    </row>
    <row r="41" ht="30.0" hidden="1" customHeight="1">
      <c r="A41" s="107" t="s">
        <v>566</v>
      </c>
      <c r="B41" s="108" t="s">
        <v>490</v>
      </c>
      <c r="C41" s="108" t="s">
        <v>567</v>
      </c>
      <c r="D41" s="108" t="str">
        <f t="shared" si="1"/>
        <v>2021</v>
      </c>
      <c r="E41" s="108" t="s">
        <v>568</v>
      </c>
      <c r="F41" s="108" t="s">
        <v>569</v>
      </c>
      <c r="G41" s="108" t="s">
        <v>570</v>
      </c>
      <c r="H41" s="108" t="s">
        <v>571</v>
      </c>
      <c r="I41" s="108" t="s">
        <v>572</v>
      </c>
      <c r="J41" s="108" t="s">
        <v>573</v>
      </c>
      <c r="K41" s="108" t="s">
        <v>574</v>
      </c>
      <c r="L41" s="108" t="s">
        <v>575</v>
      </c>
      <c r="M41" s="9"/>
      <c r="N41" s="9"/>
      <c r="O41" s="9"/>
      <c r="P41" s="9"/>
      <c r="Q41" s="9"/>
      <c r="R41" s="9"/>
      <c r="S41" s="9"/>
      <c r="T41" s="9"/>
      <c r="U41" s="9"/>
      <c r="V41" s="9"/>
      <c r="W41" s="9"/>
      <c r="X41" s="9"/>
      <c r="Y41" s="9"/>
      <c r="Z41" s="9"/>
    </row>
    <row r="42" ht="30.0" hidden="1" customHeight="1">
      <c r="A42" s="107" t="s">
        <v>576</v>
      </c>
      <c r="B42" s="108" t="s">
        <v>279</v>
      </c>
      <c r="C42" s="108" t="s">
        <v>577</v>
      </c>
      <c r="D42" s="108" t="str">
        <f t="shared" si="1"/>
        <v>2021</v>
      </c>
      <c r="E42" s="108" t="s">
        <v>578</v>
      </c>
      <c r="F42" s="108" t="s">
        <v>579</v>
      </c>
      <c r="G42" s="108" t="s">
        <v>580</v>
      </c>
      <c r="H42" s="108" t="s">
        <v>581</v>
      </c>
      <c r="I42" s="108" t="s">
        <v>582</v>
      </c>
      <c r="J42" s="108" t="s">
        <v>583</v>
      </c>
      <c r="K42" s="108" t="s">
        <v>584</v>
      </c>
      <c r="L42" s="108" t="s">
        <v>585</v>
      </c>
      <c r="M42" s="9"/>
      <c r="N42" s="9"/>
      <c r="O42" s="9"/>
      <c r="P42" s="9"/>
      <c r="Q42" s="9"/>
      <c r="R42" s="9"/>
      <c r="S42" s="9"/>
      <c r="T42" s="9"/>
      <c r="U42" s="9"/>
      <c r="V42" s="9"/>
      <c r="W42" s="9"/>
      <c r="X42" s="9"/>
      <c r="Y42" s="9"/>
      <c r="Z42" s="9"/>
    </row>
    <row r="43" ht="30.0" hidden="1" customHeight="1">
      <c r="A43" s="107" t="s">
        <v>586</v>
      </c>
      <c r="B43" s="108" t="s">
        <v>279</v>
      </c>
      <c r="C43" s="108" t="s">
        <v>587</v>
      </c>
      <c r="D43" s="108" t="str">
        <f t="shared" si="1"/>
        <v>2021</v>
      </c>
      <c r="E43" s="108" t="s">
        <v>588</v>
      </c>
      <c r="F43" s="108" t="s">
        <v>589</v>
      </c>
      <c r="G43" s="108" t="s">
        <v>590</v>
      </c>
      <c r="H43" s="108" t="s">
        <v>581</v>
      </c>
      <c r="I43" s="108" t="s">
        <v>591</v>
      </c>
      <c r="J43" s="108" t="s">
        <v>592</v>
      </c>
      <c r="K43" s="108" t="s">
        <v>593</v>
      </c>
      <c r="L43" s="108" t="s">
        <v>594</v>
      </c>
      <c r="M43" s="9"/>
      <c r="N43" s="9"/>
      <c r="O43" s="9"/>
      <c r="P43" s="9"/>
      <c r="Q43" s="9"/>
      <c r="R43" s="9"/>
      <c r="S43" s="9"/>
      <c r="T43" s="9"/>
      <c r="U43" s="9"/>
      <c r="V43" s="9"/>
      <c r="W43" s="9"/>
      <c r="X43" s="9"/>
      <c r="Y43" s="9"/>
      <c r="Z43" s="9"/>
    </row>
    <row r="44" ht="30.0" hidden="1" customHeight="1">
      <c r="A44" s="107" t="s">
        <v>595</v>
      </c>
      <c r="B44" s="108" t="s">
        <v>490</v>
      </c>
      <c r="C44" s="108" t="s">
        <v>596</v>
      </c>
      <c r="D44" s="108" t="str">
        <f t="shared" si="1"/>
        <v>2021</v>
      </c>
      <c r="E44" s="108" t="s">
        <v>597</v>
      </c>
      <c r="F44" s="108" t="s">
        <v>598</v>
      </c>
      <c r="G44" s="108" t="s">
        <v>599</v>
      </c>
      <c r="H44" s="108" t="s">
        <v>600</v>
      </c>
      <c r="I44" s="108" t="s">
        <v>601</v>
      </c>
      <c r="J44" s="108" t="s">
        <v>602</v>
      </c>
      <c r="K44" s="108" t="s">
        <v>603</v>
      </c>
      <c r="L44" s="108" t="s">
        <v>604</v>
      </c>
      <c r="M44" s="9"/>
      <c r="N44" s="9"/>
      <c r="O44" s="9"/>
      <c r="P44" s="9"/>
      <c r="Q44" s="9"/>
      <c r="R44" s="9"/>
      <c r="S44" s="9"/>
      <c r="T44" s="9"/>
      <c r="U44" s="9"/>
      <c r="V44" s="9"/>
      <c r="W44" s="9"/>
      <c r="X44" s="9"/>
      <c r="Y44" s="9"/>
      <c r="Z44" s="9"/>
    </row>
    <row r="45" ht="30.0" hidden="1" customHeight="1">
      <c r="A45" s="107" t="s">
        <v>605</v>
      </c>
      <c r="B45" s="108" t="s">
        <v>490</v>
      </c>
      <c r="C45" s="108" t="s">
        <v>606</v>
      </c>
      <c r="D45" s="108" t="str">
        <f t="shared" si="1"/>
        <v>2020</v>
      </c>
      <c r="E45" s="108" t="s">
        <v>607</v>
      </c>
      <c r="F45" s="108" t="s">
        <v>608</v>
      </c>
      <c r="G45" s="108" t="s">
        <v>609</v>
      </c>
      <c r="H45" s="108" t="s">
        <v>610</v>
      </c>
      <c r="I45" s="108" t="s">
        <v>611</v>
      </c>
      <c r="J45" s="108" t="s">
        <v>612</v>
      </c>
      <c r="K45" s="108" t="s">
        <v>613</v>
      </c>
      <c r="L45" s="108" t="s">
        <v>614</v>
      </c>
      <c r="M45" s="9"/>
      <c r="N45" s="9"/>
      <c r="O45" s="9"/>
      <c r="P45" s="9"/>
      <c r="Q45" s="9"/>
      <c r="R45" s="9"/>
      <c r="S45" s="9"/>
      <c r="T45" s="9"/>
      <c r="U45" s="9"/>
      <c r="V45" s="9"/>
      <c r="W45" s="9"/>
      <c r="X45" s="9"/>
      <c r="Y45" s="9"/>
      <c r="Z45" s="9"/>
    </row>
    <row r="46" ht="30.0" hidden="1" customHeight="1">
      <c r="A46" s="107" t="s">
        <v>615</v>
      </c>
      <c r="B46" s="108" t="s">
        <v>490</v>
      </c>
      <c r="C46" s="108" t="s">
        <v>616</v>
      </c>
      <c r="D46" s="108" t="str">
        <f t="shared" si="1"/>
        <v>2019</v>
      </c>
      <c r="E46" s="108" t="s">
        <v>617</v>
      </c>
      <c r="F46" s="108" t="s">
        <v>618</v>
      </c>
      <c r="G46" s="108" t="s">
        <v>619</v>
      </c>
      <c r="H46" s="108" t="s">
        <v>620</v>
      </c>
      <c r="I46" s="108" t="s">
        <v>621</v>
      </c>
      <c r="J46" s="108" t="s">
        <v>622</v>
      </c>
      <c r="K46" s="108" t="s">
        <v>623</v>
      </c>
      <c r="L46" s="108" t="s">
        <v>624</v>
      </c>
      <c r="M46" s="9"/>
      <c r="N46" s="9"/>
      <c r="O46" s="9"/>
      <c r="P46" s="9"/>
      <c r="Q46" s="9"/>
      <c r="R46" s="9"/>
      <c r="S46" s="9"/>
      <c r="T46" s="9"/>
      <c r="U46" s="9"/>
      <c r="V46" s="9"/>
      <c r="W46" s="9"/>
      <c r="X46" s="9"/>
      <c r="Y46" s="9"/>
      <c r="Z46" s="9"/>
    </row>
    <row r="47" ht="30.0" hidden="1" customHeight="1">
      <c r="A47" s="107" t="s">
        <v>625</v>
      </c>
      <c r="B47" s="108" t="s">
        <v>490</v>
      </c>
      <c r="C47" s="108" t="s">
        <v>391</v>
      </c>
      <c r="D47" s="108" t="str">
        <f t="shared" si="1"/>
        <v>2025</v>
      </c>
      <c r="E47" s="108" t="s">
        <v>626</v>
      </c>
      <c r="F47" s="108" t="s">
        <v>627</v>
      </c>
      <c r="G47" s="108" t="s">
        <v>628</v>
      </c>
      <c r="H47" s="108" t="s">
        <v>629</v>
      </c>
      <c r="I47" s="108" t="s">
        <v>630</v>
      </c>
      <c r="J47" s="108" t="s">
        <v>631</v>
      </c>
      <c r="K47" s="108" t="s">
        <v>632</v>
      </c>
      <c r="L47" s="108" t="s">
        <v>633</v>
      </c>
      <c r="M47" s="9"/>
      <c r="N47" s="9"/>
      <c r="O47" s="9"/>
      <c r="P47" s="9"/>
      <c r="Q47" s="9"/>
      <c r="R47" s="9"/>
      <c r="S47" s="9"/>
      <c r="T47" s="9"/>
      <c r="U47" s="9"/>
      <c r="V47" s="9"/>
      <c r="W47" s="9"/>
      <c r="X47" s="9"/>
      <c r="Y47" s="9"/>
      <c r="Z47" s="9"/>
    </row>
    <row r="48" ht="30.0" hidden="1" customHeight="1">
      <c r="A48" s="107" t="s">
        <v>634</v>
      </c>
      <c r="B48" s="108" t="s">
        <v>279</v>
      </c>
      <c r="C48" s="108" t="s">
        <v>248</v>
      </c>
      <c r="D48" s="108" t="str">
        <f t="shared" si="1"/>
        <v>2025</v>
      </c>
      <c r="E48" s="108" t="s">
        <v>635</v>
      </c>
      <c r="F48" s="108" t="s">
        <v>636</v>
      </c>
      <c r="G48" s="108" t="s">
        <v>637</v>
      </c>
      <c r="H48" s="108" t="s">
        <v>638</v>
      </c>
      <c r="I48" s="108" t="s">
        <v>639</v>
      </c>
      <c r="J48" s="108" t="s">
        <v>640</v>
      </c>
      <c r="K48" s="108" t="s">
        <v>641</v>
      </c>
      <c r="L48" s="108" t="s">
        <v>642</v>
      </c>
      <c r="M48" s="9"/>
      <c r="N48" s="9"/>
      <c r="O48" s="9"/>
      <c r="P48" s="9"/>
      <c r="Q48" s="9"/>
      <c r="R48" s="9"/>
      <c r="S48" s="9"/>
      <c r="T48" s="9"/>
      <c r="U48" s="9"/>
      <c r="V48" s="9"/>
      <c r="W48" s="9"/>
      <c r="X48" s="9"/>
      <c r="Y48" s="9"/>
      <c r="Z48" s="9"/>
    </row>
    <row r="49" ht="30.0" hidden="1" customHeight="1">
      <c r="A49" s="107" t="s">
        <v>643</v>
      </c>
      <c r="B49" s="108" t="s">
        <v>279</v>
      </c>
      <c r="C49" s="108" t="s">
        <v>420</v>
      </c>
      <c r="D49" s="108" t="str">
        <f t="shared" si="1"/>
        <v>2025</v>
      </c>
      <c r="E49" s="108" t="s">
        <v>644</v>
      </c>
      <c r="F49" s="108" t="s">
        <v>645</v>
      </c>
      <c r="G49" s="108" t="s">
        <v>646</v>
      </c>
      <c r="H49" s="108" t="s">
        <v>647</v>
      </c>
      <c r="I49" s="108" t="s">
        <v>648</v>
      </c>
      <c r="J49" s="108" t="s">
        <v>649</v>
      </c>
      <c r="K49" s="108" t="s">
        <v>650</v>
      </c>
      <c r="L49" s="108" t="s">
        <v>651</v>
      </c>
      <c r="M49" s="9"/>
      <c r="N49" s="9"/>
      <c r="O49" s="9"/>
      <c r="P49" s="9"/>
      <c r="Q49" s="9"/>
      <c r="R49" s="9"/>
      <c r="S49" s="9"/>
      <c r="T49" s="9"/>
      <c r="U49" s="9"/>
      <c r="V49" s="9"/>
      <c r="W49" s="9"/>
      <c r="X49" s="9"/>
      <c r="Y49" s="9"/>
      <c r="Z49" s="9"/>
    </row>
    <row r="50" ht="30.0" hidden="1" customHeight="1">
      <c r="A50" s="107" t="s">
        <v>652</v>
      </c>
      <c r="B50" s="108" t="s">
        <v>490</v>
      </c>
      <c r="C50" s="108" t="s">
        <v>440</v>
      </c>
      <c r="D50" s="108" t="str">
        <f t="shared" si="1"/>
        <v>2024</v>
      </c>
      <c r="E50" s="108" t="s">
        <v>653</v>
      </c>
      <c r="F50" s="108" t="s">
        <v>654</v>
      </c>
      <c r="G50" s="108" t="s">
        <v>655</v>
      </c>
      <c r="H50" s="108" t="s">
        <v>656</v>
      </c>
      <c r="I50" s="108" t="s">
        <v>657</v>
      </c>
      <c r="J50" s="108" t="s">
        <v>658</v>
      </c>
      <c r="K50" s="108" t="s">
        <v>659</v>
      </c>
      <c r="L50" s="108" t="s">
        <v>660</v>
      </c>
      <c r="M50" s="9"/>
      <c r="N50" s="9"/>
      <c r="O50" s="9"/>
      <c r="P50" s="9"/>
      <c r="Q50" s="9"/>
      <c r="R50" s="9"/>
      <c r="S50" s="9"/>
      <c r="T50" s="9"/>
      <c r="U50" s="9"/>
      <c r="V50" s="9"/>
      <c r="W50" s="9"/>
      <c r="X50" s="9"/>
      <c r="Y50" s="9"/>
      <c r="Z50" s="9"/>
    </row>
    <row r="51" ht="30.0" hidden="1" customHeight="1">
      <c r="A51" s="107" t="s">
        <v>661</v>
      </c>
      <c r="B51" s="108" t="s">
        <v>662</v>
      </c>
      <c r="C51" s="108" t="s">
        <v>450</v>
      </c>
      <c r="D51" s="108" t="str">
        <f t="shared" si="1"/>
        <v>2024</v>
      </c>
      <c r="E51" s="108" t="s">
        <v>663</v>
      </c>
      <c r="F51" s="108" t="s">
        <v>664</v>
      </c>
      <c r="G51" s="108" t="s">
        <v>665</v>
      </c>
      <c r="H51" s="108" t="s">
        <v>666</v>
      </c>
      <c r="I51" s="108" t="s">
        <v>667</v>
      </c>
      <c r="J51" s="108" t="s">
        <v>668</v>
      </c>
      <c r="K51" s="108" t="s">
        <v>669</v>
      </c>
      <c r="L51" s="108" t="s">
        <v>670</v>
      </c>
      <c r="M51" s="9"/>
      <c r="N51" s="9"/>
      <c r="O51" s="9"/>
      <c r="P51" s="9"/>
      <c r="Q51" s="9"/>
      <c r="R51" s="9"/>
      <c r="S51" s="9"/>
      <c r="T51" s="9"/>
      <c r="U51" s="9"/>
      <c r="V51" s="9"/>
      <c r="W51" s="9"/>
      <c r="X51" s="9"/>
      <c r="Y51" s="9"/>
      <c r="Z51" s="9"/>
    </row>
    <row r="52" ht="30.0" hidden="1" customHeight="1">
      <c r="A52" s="107" t="s">
        <v>671</v>
      </c>
      <c r="B52" s="108" t="s">
        <v>279</v>
      </c>
      <c r="C52" s="108" t="s">
        <v>450</v>
      </c>
      <c r="D52" s="108" t="str">
        <f t="shared" si="1"/>
        <v>2024</v>
      </c>
      <c r="E52" s="108" t="s">
        <v>672</v>
      </c>
      <c r="F52" s="108" t="s">
        <v>673</v>
      </c>
      <c r="G52" s="108" t="s">
        <v>674</v>
      </c>
      <c r="H52" s="108" t="s">
        <v>675</v>
      </c>
      <c r="I52" s="108" t="s">
        <v>676</v>
      </c>
      <c r="J52" s="108" t="s">
        <v>677</v>
      </c>
      <c r="K52" s="108" t="s">
        <v>678</v>
      </c>
      <c r="L52" s="108" t="s">
        <v>679</v>
      </c>
      <c r="M52" s="9"/>
      <c r="N52" s="9"/>
      <c r="O52" s="9"/>
      <c r="P52" s="9"/>
      <c r="Q52" s="9"/>
      <c r="R52" s="9"/>
      <c r="S52" s="9"/>
      <c r="T52" s="9"/>
      <c r="U52" s="9"/>
      <c r="V52" s="9"/>
      <c r="W52" s="9"/>
      <c r="X52" s="9"/>
      <c r="Y52" s="9"/>
      <c r="Z52" s="9"/>
    </row>
    <row r="53" ht="30.0" hidden="1" customHeight="1">
      <c r="A53" s="107" t="s">
        <v>680</v>
      </c>
      <c r="B53" s="108" t="s">
        <v>480</v>
      </c>
      <c r="C53" s="108" t="s">
        <v>681</v>
      </c>
      <c r="D53" s="108" t="str">
        <f t="shared" si="1"/>
        <v>2024</v>
      </c>
      <c r="E53" s="108" t="s">
        <v>682</v>
      </c>
      <c r="F53" s="108" t="s">
        <v>683</v>
      </c>
      <c r="G53" s="108" t="s">
        <v>684</v>
      </c>
      <c r="H53" s="108" t="s">
        <v>685</v>
      </c>
      <c r="I53" s="108" t="s">
        <v>686</v>
      </c>
      <c r="J53" s="108" t="s">
        <v>687</v>
      </c>
      <c r="K53" s="108" t="s">
        <v>688</v>
      </c>
      <c r="L53" s="108" t="s">
        <v>689</v>
      </c>
      <c r="M53" s="9"/>
      <c r="N53" s="9"/>
      <c r="O53" s="9"/>
      <c r="P53" s="9"/>
      <c r="Q53" s="9"/>
      <c r="R53" s="9"/>
      <c r="S53" s="9"/>
      <c r="T53" s="9"/>
      <c r="U53" s="9"/>
      <c r="V53" s="9"/>
      <c r="W53" s="9"/>
      <c r="X53" s="9"/>
      <c r="Y53" s="9"/>
      <c r="Z53" s="9"/>
    </row>
    <row r="54" ht="30.0" hidden="1" customHeight="1">
      <c r="A54" s="107" t="s">
        <v>690</v>
      </c>
      <c r="B54" s="108" t="s">
        <v>279</v>
      </c>
      <c r="C54" s="108" t="s">
        <v>691</v>
      </c>
      <c r="D54" s="108" t="str">
        <f t="shared" si="1"/>
        <v>2024</v>
      </c>
      <c r="E54" s="108" t="s">
        <v>692</v>
      </c>
      <c r="F54" s="108" t="s">
        <v>693</v>
      </c>
      <c r="G54" s="108" t="s">
        <v>694</v>
      </c>
      <c r="H54" s="108" t="s">
        <v>695</v>
      </c>
      <c r="I54" s="108" t="s">
        <v>696</v>
      </c>
      <c r="J54" s="108" t="s">
        <v>697</v>
      </c>
      <c r="K54" s="108" t="s">
        <v>698</v>
      </c>
      <c r="L54" s="108" t="s">
        <v>699</v>
      </c>
      <c r="M54" s="9"/>
      <c r="N54" s="9"/>
      <c r="O54" s="9"/>
      <c r="P54" s="9"/>
      <c r="Q54" s="9"/>
      <c r="R54" s="9"/>
      <c r="S54" s="9"/>
      <c r="T54" s="9"/>
      <c r="U54" s="9"/>
      <c r="V54" s="9"/>
      <c r="W54" s="9"/>
      <c r="X54" s="9"/>
      <c r="Y54" s="9"/>
      <c r="Z54" s="9"/>
    </row>
    <row r="55" ht="30.0" hidden="1" customHeight="1">
      <c r="A55" s="107" t="s">
        <v>700</v>
      </c>
      <c r="B55" s="108" t="s">
        <v>490</v>
      </c>
      <c r="C55" s="108" t="s">
        <v>701</v>
      </c>
      <c r="D55" s="108" t="str">
        <f t="shared" si="1"/>
        <v>2024</v>
      </c>
      <c r="E55" s="108" t="s">
        <v>702</v>
      </c>
      <c r="F55" s="108" t="s">
        <v>703</v>
      </c>
      <c r="G55" s="108" t="s">
        <v>704</v>
      </c>
      <c r="H55" s="108" t="s">
        <v>705</v>
      </c>
      <c r="I55" s="108" t="s">
        <v>706</v>
      </c>
      <c r="J55" s="108" t="s">
        <v>707</v>
      </c>
      <c r="K55" s="108" t="s">
        <v>708</v>
      </c>
      <c r="L55" s="108" t="s">
        <v>709</v>
      </c>
      <c r="M55" s="9"/>
      <c r="N55" s="9"/>
      <c r="O55" s="9"/>
      <c r="P55" s="9"/>
      <c r="Q55" s="9"/>
      <c r="R55" s="9"/>
      <c r="S55" s="9"/>
      <c r="T55" s="9"/>
      <c r="U55" s="9"/>
      <c r="V55" s="9"/>
      <c r="W55" s="9"/>
      <c r="X55" s="9"/>
      <c r="Y55" s="9"/>
      <c r="Z55" s="9"/>
    </row>
    <row r="56" ht="30.0" hidden="1" customHeight="1">
      <c r="A56" s="107" t="s">
        <v>710</v>
      </c>
      <c r="B56" s="108" t="s">
        <v>279</v>
      </c>
      <c r="C56" s="108" t="s">
        <v>711</v>
      </c>
      <c r="D56" s="108" t="str">
        <f t="shared" si="1"/>
        <v>2024</v>
      </c>
      <c r="E56" s="108" t="s">
        <v>712</v>
      </c>
      <c r="F56" s="108" t="s">
        <v>713</v>
      </c>
      <c r="G56" s="108" t="s">
        <v>714</v>
      </c>
      <c r="H56" s="108" t="s">
        <v>715</v>
      </c>
      <c r="I56" s="108" t="s">
        <v>716</v>
      </c>
      <c r="J56" s="108" t="s">
        <v>717</v>
      </c>
      <c r="K56" s="108" t="s">
        <v>718</v>
      </c>
      <c r="L56" s="108" t="s">
        <v>719</v>
      </c>
      <c r="M56" s="9"/>
      <c r="N56" s="9"/>
      <c r="O56" s="9"/>
      <c r="P56" s="9"/>
      <c r="Q56" s="9"/>
      <c r="R56" s="9"/>
      <c r="S56" s="9"/>
      <c r="T56" s="9"/>
      <c r="U56" s="9"/>
      <c r="V56" s="9"/>
      <c r="W56" s="9"/>
      <c r="X56" s="9"/>
      <c r="Y56" s="9"/>
      <c r="Z56" s="9"/>
    </row>
    <row r="57" ht="30.0" hidden="1" customHeight="1">
      <c r="A57" s="107" t="s">
        <v>720</v>
      </c>
      <c r="B57" s="108" t="s">
        <v>279</v>
      </c>
      <c r="C57" s="108" t="s">
        <v>721</v>
      </c>
      <c r="D57" s="108" t="str">
        <f t="shared" si="1"/>
        <v>2024</v>
      </c>
      <c r="E57" s="108" t="s">
        <v>722</v>
      </c>
      <c r="F57" s="108" t="s">
        <v>723</v>
      </c>
      <c r="G57" s="108" t="s">
        <v>724</v>
      </c>
      <c r="H57" s="108" t="s">
        <v>725</v>
      </c>
      <c r="I57" s="108" t="s">
        <v>726</v>
      </c>
      <c r="J57" s="108" t="s">
        <v>727</v>
      </c>
      <c r="K57" s="108" t="s">
        <v>728</v>
      </c>
      <c r="L57" s="108" t="s">
        <v>729</v>
      </c>
      <c r="M57" s="9"/>
      <c r="N57" s="9"/>
      <c r="O57" s="9"/>
      <c r="P57" s="9"/>
      <c r="Q57" s="9"/>
      <c r="R57" s="9"/>
      <c r="S57" s="9"/>
      <c r="T57" s="9"/>
      <c r="U57" s="9"/>
      <c r="V57" s="9"/>
      <c r="W57" s="9"/>
      <c r="X57" s="9"/>
      <c r="Y57" s="9"/>
      <c r="Z57" s="9"/>
    </row>
    <row r="58" ht="30.0" hidden="1" customHeight="1">
      <c r="A58" s="107" t="s">
        <v>730</v>
      </c>
      <c r="B58" s="108" t="s">
        <v>490</v>
      </c>
      <c r="C58" s="108" t="s">
        <v>731</v>
      </c>
      <c r="D58" s="108" t="str">
        <f t="shared" si="1"/>
        <v>2023</v>
      </c>
      <c r="E58" s="108" t="s">
        <v>732</v>
      </c>
      <c r="F58" s="108" t="s">
        <v>733</v>
      </c>
      <c r="G58" s="108" t="s">
        <v>734</v>
      </c>
      <c r="H58" s="108" t="s">
        <v>735</v>
      </c>
      <c r="I58" s="108" t="s">
        <v>736</v>
      </c>
      <c r="J58" s="108" t="s">
        <v>737</v>
      </c>
      <c r="K58" s="108" t="s">
        <v>738</v>
      </c>
      <c r="L58" s="108" t="s">
        <v>739</v>
      </c>
      <c r="M58" s="9"/>
      <c r="N58" s="9"/>
      <c r="O58" s="9"/>
      <c r="P58" s="9"/>
      <c r="Q58" s="9"/>
      <c r="R58" s="9"/>
      <c r="S58" s="9"/>
      <c r="T58" s="9"/>
      <c r="U58" s="9"/>
      <c r="V58" s="9"/>
      <c r="W58" s="9"/>
      <c r="X58" s="9"/>
      <c r="Y58" s="9"/>
      <c r="Z58" s="9"/>
    </row>
    <row r="59" ht="30.0" hidden="1" customHeight="1">
      <c r="A59" s="107" t="s">
        <v>740</v>
      </c>
      <c r="B59" s="108" t="s">
        <v>662</v>
      </c>
      <c r="C59" s="108" t="s">
        <v>741</v>
      </c>
      <c r="D59" s="108" t="str">
        <f t="shared" si="1"/>
        <v>2023</v>
      </c>
      <c r="E59" s="108" t="s">
        <v>742</v>
      </c>
      <c r="F59" s="108" t="s">
        <v>743</v>
      </c>
      <c r="G59" s="108" t="s">
        <v>744</v>
      </c>
      <c r="H59" s="108" t="s">
        <v>745</v>
      </c>
      <c r="I59" s="108" t="s">
        <v>746</v>
      </c>
      <c r="J59" s="108" t="s">
        <v>747</v>
      </c>
      <c r="K59" s="108" t="s">
        <v>748</v>
      </c>
      <c r="L59" s="108" t="s">
        <v>749</v>
      </c>
      <c r="M59" s="9"/>
      <c r="N59" s="9"/>
      <c r="O59" s="9"/>
      <c r="P59" s="9"/>
      <c r="Q59" s="9"/>
      <c r="R59" s="9"/>
      <c r="S59" s="9"/>
      <c r="T59" s="9"/>
      <c r="U59" s="9"/>
      <c r="V59" s="9"/>
      <c r="W59" s="9"/>
      <c r="X59" s="9"/>
      <c r="Y59" s="9"/>
      <c r="Z59" s="9"/>
    </row>
    <row r="60" ht="30.0" hidden="1" customHeight="1">
      <c r="A60" s="107" t="s">
        <v>750</v>
      </c>
      <c r="B60" s="108" t="s">
        <v>279</v>
      </c>
      <c r="C60" s="108" t="s">
        <v>751</v>
      </c>
      <c r="D60" s="108" t="str">
        <f t="shared" si="1"/>
        <v>2023</v>
      </c>
      <c r="E60" s="108" t="s">
        <v>752</v>
      </c>
      <c r="F60" s="108" t="s">
        <v>753</v>
      </c>
      <c r="G60" s="108" t="s">
        <v>301</v>
      </c>
      <c r="H60" s="108" t="s">
        <v>754</v>
      </c>
      <c r="I60" s="108" t="s">
        <v>755</v>
      </c>
      <c r="J60" s="108" t="s">
        <v>756</v>
      </c>
      <c r="K60" s="108" t="s">
        <v>757</v>
      </c>
      <c r="L60" s="108" t="s">
        <v>758</v>
      </c>
      <c r="M60" s="9"/>
      <c r="N60" s="9"/>
      <c r="O60" s="9"/>
      <c r="P60" s="9"/>
      <c r="Q60" s="9"/>
      <c r="R60" s="9"/>
      <c r="S60" s="9"/>
      <c r="T60" s="9"/>
      <c r="U60" s="9"/>
      <c r="V60" s="9"/>
      <c r="W60" s="9"/>
      <c r="X60" s="9"/>
      <c r="Y60" s="9"/>
      <c r="Z60" s="9"/>
    </row>
    <row r="61" ht="30.0" hidden="1" customHeight="1">
      <c r="A61" s="107" t="s">
        <v>759</v>
      </c>
      <c r="B61" s="108" t="s">
        <v>290</v>
      </c>
      <c r="C61" s="108" t="s">
        <v>760</v>
      </c>
      <c r="D61" s="108" t="str">
        <f t="shared" si="1"/>
        <v>2023</v>
      </c>
      <c r="E61" s="108" t="s">
        <v>761</v>
      </c>
      <c r="F61" s="108" t="s">
        <v>762</v>
      </c>
      <c r="G61" s="108" t="s">
        <v>763</v>
      </c>
      <c r="H61" s="108" t="s">
        <v>764</v>
      </c>
      <c r="I61" s="108" t="s">
        <v>765</v>
      </c>
      <c r="J61" s="108" t="s">
        <v>766</v>
      </c>
      <c r="K61" s="108" t="s">
        <v>767</v>
      </c>
      <c r="L61" s="108" t="s">
        <v>768</v>
      </c>
      <c r="M61" s="9"/>
      <c r="N61" s="9"/>
      <c r="O61" s="9"/>
      <c r="P61" s="9"/>
      <c r="Q61" s="9"/>
      <c r="R61" s="9"/>
      <c r="S61" s="9"/>
      <c r="T61" s="9"/>
      <c r="U61" s="9"/>
      <c r="V61" s="9"/>
      <c r="W61" s="9"/>
      <c r="X61" s="9"/>
      <c r="Y61" s="9"/>
      <c r="Z61" s="9"/>
    </row>
    <row r="62" ht="30.0" hidden="1" customHeight="1">
      <c r="A62" s="107" t="s">
        <v>769</v>
      </c>
      <c r="B62" s="108" t="s">
        <v>279</v>
      </c>
      <c r="C62" s="108" t="s">
        <v>770</v>
      </c>
      <c r="D62" s="108" t="str">
        <f t="shared" si="1"/>
        <v>2023</v>
      </c>
      <c r="E62" s="108" t="s">
        <v>771</v>
      </c>
      <c r="F62" s="108" t="s">
        <v>772</v>
      </c>
      <c r="G62" s="108" t="s">
        <v>301</v>
      </c>
      <c r="H62" s="108" t="s">
        <v>773</v>
      </c>
      <c r="I62" s="108" t="s">
        <v>774</v>
      </c>
      <c r="J62" s="108" t="s">
        <v>775</v>
      </c>
      <c r="K62" s="108" t="s">
        <v>301</v>
      </c>
      <c r="L62" s="108" t="s">
        <v>776</v>
      </c>
      <c r="M62" s="9"/>
      <c r="N62" s="9"/>
      <c r="O62" s="9"/>
      <c r="P62" s="9"/>
      <c r="Q62" s="9"/>
      <c r="R62" s="9"/>
      <c r="S62" s="9"/>
      <c r="T62" s="9"/>
      <c r="U62" s="9"/>
      <c r="V62" s="9"/>
      <c r="W62" s="9"/>
      <c r="X62" s="9"/>
      <c r="Y62" s="9"/>
      <c r="Z62" s="9"/>
    </row>
    <row r="63" ht="30.0" hidden="1" customHeight="1">
      <c r="A63" s="107" t="s">
        <v>777</v>
      </c>
      <c r="B63" s="108" t="s">
        <v>490</v>
      </c>
      <c r="C63" s="108" t="s">
        <v>778</v>
      </c>
      <c r="D63" s="108" t="str">
        <f t="shared" si="1"/>
        <v>2023</v>
      </c>
      <c r="E63" s="108" t="s">
        <v>779</v>
      </c>
      <c r="F63" s="108" t="s">
        <v>780</v>
      </c>
      <c r="G63" s="108" t="s">
        <v>781</v>
      </c>
      <c r="H63" s="108" t="s">
        <v>782</v>
      </c>
      <c r="I63" s="108" t="s">
        <v>783</v>
      </c>
      <c r="J63" s="108" t="s">
        <v>784</v>
      </c>
      <c r="K63" s="108" t="s">
        <v>785</v>
      </c>
      <c r="L63" s="108" t="s">
        <v>786</v>
      </c>
      <c r="M63" s="9"/>
      <c r="N63" s="9"/>
      <c r="O63" s="9"/>
      <c r="P63" s="9"/>
      <c r="Q63" s="9"/>
      <c r="R63" s="9"/>
      <c r="S63" s="9"/>
      <c r="T63" s="9"/>
      <c r="U63" s="9"/>
      <c r="V63" s="9"/>
      <c r="W63" s="9"/>
      <c r="X63" s="9"/>
      <c r="Y63" s="9"/>
      <c r="Z63" s="9"/>
    </row>
    <row r="64" ht="30.0" hidden="1" customHeight="1">
      <c r="A64" s="107" t="s">
        <v>787</v>
      </c>
      <c r="B64" s="108" t="s">
        <v>279</v>
      </c>
      <c r="C64" s="108" t="s">
        <v>788</v>
      </c>
      <c r="D64" s="108" t="str">
        <f t="shared" si="1"/>
        <v>2023</v>
      </c>
      <c r="E64" s="108" t="s">
        <v>789</v>
      </c>
      <c r="F64" s="108" t="s">
        <v>790</v>
      </c>
      <c r="G64" s="108" t="s">
        <v>791</v>
      </c>
      <c r="H64" s="108" t="s">
        <v>792</v>
      </c>
      <c r="I64" s="108" t="s">
        <v>793</v>
      </c>
      <c r="J64" s="108" t="s">
        <v>794</v>
      </c>
      <c r="K64" s="108" t="s">
        <v>795</v>
      </c>
      <c r="L64" s="108" t="s">
        <v>796</v>
      </c>
      <c r="M64" s="9"/>
      <c r="N64" s="9"/>
      <c r="O64" s="9"/>
      <c r="P64" s="9"/>
      <c r="Q64" s="9"/>
      <c r="R64" s="9"/>
      <c r="S64" s="9"/>
      <c r="T64" s="9"/>
      <c r="U64" s="9"/>
      <c r="V64" s="9"/>
      <c r="W64" s="9"/>
      <c r="X64" s="9"/>
      <c r="Y64" s="9"/>
      <c r="Z64" s="9"/>
    </row>
    <row r="65" ht="30.0" hidden="1" customHeight="1">
      <c r="A65" s="107" t="s">
        <v>797</v>
      </c>
      <c r="B65" s="108" t="s">
        <v>279</v>
      </c>
      <c r="C65" s="108" t="s">
        <v>798</v>
      </c>
      <c r="D65" s="108" t="str">
        <f t="shared" si="1"/>
        <v>2023</v>
      </c>
      <c r="E65" s="108" t="s">
        <v>799</v>
      </c>
      <c r="F65" s="108" t="s">
        <v>800</v>
      </c>
      <c r="G65" s="108" t="s">
        <v>801</v>
      </c>
      <c r="H65" s="108" t="s">
        <v>802</v>
      </c>
      <c r="I65" s="108" t="s">
        <v>803</v>
      </c>
      <c r="J65" s="108" t="s">
        <v>804</v>
      </c>
      <c r="K65" s="108" t="s">
        <v>805</v>
      </c>
      <c r="L65" s="108" t="s">
        <v>806</v>
      </c>
      <c r="M65" s="9"/>
      <c r="N65" s="9"/>
      <c r="O65" s="9"/>
      <c r="P65" s="9"/>
      <c r="Q65" s="9"/>
      <c r="R65" s="9"/>
      <c r="S65" s="9"/>
      <c r="T65" s="9"/>
      <c r="U65" s="9"/>
      <c r="V65" s="9"/>
      <c r="W65" s="9"/>
      <c r="X65" s="9"/>
      <c r="Y65" s="9"/>
      <c r="Z65" s="9"/>
    </row>
    <row r="66" ht="30.0" hidden="1" customHeight="1">
      <c r="A66" s="107" t="s">
        <v>807</v>
      </c>
      <c r="B66" s="108" t="s">
        <v>490</v>
      </c>
      <c r="C66" s="108" t="s">
        <v>808</v>
      </c>
      <c r="D66" s="108" t="str">
        <f t="shared" si="1"/>
        <v>2022</v>
      </c>
      <c r="E66" s="108" t="s">
        <v>809</v>
      </c>
      <c r="F66" s="108" t="s">
        <v>810</v>
      </c>
      <c r="G66" s="108" t="s">
        <v>811</v>
      </c>
      <c r="H66" s="108" t="s">
        <v>812</v>
      </c>
      <c r="I66" s="108" t="s">
        <v>813</v>
      </c>
      <c r="J66" s="108" t="s">
        <v>814</v>
      </c>
      <c r="K66" s="108" t="s">
        <v>815</v>
      </c>
      <c r="L66" s="108" t="s">
        <v>816</v>
      </c>
      <c r="M66" s="9"/>
      <c r="N66" s="9"/>
      <c r="O66" s="9"/>
      <c r="P66" s="9"/>
      <c r="Q66" s="9"/>
      <c r="R66" s="9"/>
      <c r="S66" s="9"/>
      <c r="T66" s="9"/>
      <c r="U66" s="9"/>
      <c r="V66" s="9"/>
      <c r="W66" s="9"/>
      <c r="X66" s="9"/>
      <c r="Y66" s="9"/>
      <c r="Z66" s="9"/>
    </row>
    <row r="67" ht="30.0" customHeight="1">
      <c r="A67" s="109"/>
      <c r="B67" s="109"/>
      <c r="C67" s="109"/>
      <c r="D67" s="109"/>
      <c r="E67" s="109"/>
      <c r="F67" s="109"/>
      <c r="G67" s="109"/>
      <c r="H67" s="109"/>
      <c r="I67" s="109"/>
      <c r="J67" s="109"/>
      <c r="K67" s="109"/>
      <c r="L67" s="109"/>
      <c r="M67" s="9"/>
      <c r="N67" s="9"/>
      <c r="O67" s="9"/>
      <c r="P67" s="9"/>
      <c r="Q67" s="9"/>
      <c r="R67" s="9"/>
      <c r="S67" s="9"/>
      <c r="T67" s="9"/>
      <c r="U67" s="9"/>
      <c r="V67" s="9"/>
      <c r="W67" s="9"/>
      <c r="X67" s="9"/>
      <c r="Y67" s="9"/>
      <c r="Z67" s="9"/>
    </row>
    <row r="68" ht="30.0"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30.0"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30.0"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30.0"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30.0"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30.0"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30.0"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30.0"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30.0"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30.0"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30.0"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30.0"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30.0"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30.0"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30.0"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30.0"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30.0"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30.0"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30.0"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30.0"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30.0"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30.0"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30.0"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30.0"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30.0"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30.0"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30.0"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30.0"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30.0"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30.0"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30.0"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30.0"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30.0"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30.0"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30.0"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30.0"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30.0"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30.0"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30.0"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30.0"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30.0"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30.0"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30.0"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30.0"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30.0"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30.0"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30.0"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30.0"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30.0"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30.0"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30.0"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30.0"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30.0"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30.0"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30.0"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30.0"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30.0"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30.0"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30.0"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30.0"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30.0"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30.0"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30.0"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30.0"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30.0"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30.0"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30.0"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30.0"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30.0"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30.0"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30.0"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30.0"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30.0"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30.0"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30.0"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30.0"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30.0"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30.0"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30.0"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30.0"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30.0"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30.0"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30.0"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30.0"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30.0"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30.0"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30.0"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30.0"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30.0"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30.0"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30.0"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30.0"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30.0"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30.0"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30.0"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30.0"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30.0"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30.0"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30.0"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30.0"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30.0"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30.0"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30.0"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30.0"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30.0"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30.0"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30.0"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30.0"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30.0"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30.0"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30.0"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30.0"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30.0"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30.0"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30.0"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30.0"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30.0"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30.0"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30.0"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30.0"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30.0"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30.0"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30.0"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30.0"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30.0"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30.0"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30.0"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30.0"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30.0"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30.0"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30.0"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30.0"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30.0"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30.0"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30.0"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30.0"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30.0"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30.0"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30.0"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30.0"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30.0"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30.0"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30.0"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30.0"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30.0"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30.0"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30.0"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30.0"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30.0"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30.0"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30.0"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30.0"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30.0"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30.0"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30.0"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30.0"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30.0"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30.0"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30.0"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30.0"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30.0"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30.0"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30.0"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30.0"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30.0"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30.0"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30.0"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30.0"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30.0"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30.0"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30.0"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30.0"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30.0"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30.0"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30.0"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30.0"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30.0"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30.0"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30.0"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30.0"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30.0"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30.0"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30.0"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30.0"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30.0"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30.0"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30.0"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30.0"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30.0"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30.0"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30.0"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30.0"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30.0"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30.0"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30.0"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30.0"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30.0"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30.0"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30.0"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30.0"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30.0"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30.0"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30.0"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30.0"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30.0"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30.0"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30.0"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30.0"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30.0"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30.0"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30.0"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30.0"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30.0"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30.0"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30.0"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30.0"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30.0"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30.0"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30.0"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30.0"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30.0"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30.0"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30.0"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30.0"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30.0"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30.0"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30.0"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30.0"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30.0"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30.0"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30.0"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30.0"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30.0"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30.0"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30.0"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30.0"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30.0"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30.0"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30.0"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30.0"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30.0"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30.0"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30.0"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30.0"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30.0"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30.0"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30.0"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30.0"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30.0"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30.0"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30.0"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30.0"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30.0"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30.0"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30.0"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30.0"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30.0"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30.0"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30.0"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30.0"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30.0"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30.0"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30.0"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30.0"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30.0"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30.0"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30.0"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30.0"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30.0"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30.0"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30.0"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30.0"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30.0"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30.0"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30.0"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30.0"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30.0"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30.0"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30.0"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30.0"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30.0"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30.0"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30.0"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30.0"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30.0"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30.0"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30.0"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30.0"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30.0"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30.0"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30.0"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30.0"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30.0"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30.0"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30.0"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30.0"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30.0"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30.0"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30.0"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30.0"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30.0"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30.0"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30.0"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30.0"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30.0"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30.0"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30.0"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30.0"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30.0"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30.0"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30.0"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30.0"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30.0"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30.0"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30.0"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30.0"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30.0"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30.0"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30.0"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30.0"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30.0"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30.0"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30.0"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30.0"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30.0"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30.0"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30.0"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30.0"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30.0"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30.0"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30.0"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30.0"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30.0"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30.0"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30.0"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30.0"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30.0"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30.0"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30.0"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30.0"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30.0"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30.0"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30.0"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30.0"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30.0"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30.0"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30.0"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30.0"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30.0"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30.0"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30.0"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30.0"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30.0"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30.0"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30.0"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30.0"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30.0"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30.0"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30.0"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30.0"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30.0"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30.0"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30.0"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30.0"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30.0"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30.0"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30.0"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30.0"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30.0"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30.0"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30.0"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30.0"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30.0"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30.0"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30.0"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30.0"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30.0"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30.0"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30.0"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30.0"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30.0"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30.0"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30.0"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30.0"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30.0"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30.0"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30.0"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30.0"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30.0"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30.0"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30.0"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30.0"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30.0"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30.0"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30.0"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30.0"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30.0"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30.0"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30.0"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30.0"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30.0"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30.0"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30.0"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30.0"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30.0"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30.0"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30.0"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30.0"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30.0"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30.0"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30.0"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30.0"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30.0"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30.0"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30.0"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30.0"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30.0"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30.0"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30.0"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30.0"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30.0"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30.0"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30.0"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30.0"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30.0"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30.0"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30.0"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30.0"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30.0"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30.0"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30.0"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30.0"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30.0"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30.0"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30.0"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30.0"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30.0"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30.0"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30.0"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30.0"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30.0"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30.0"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30.0"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30.0"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30.0"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30.0"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30.0"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30.0"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30.0"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30.0"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30.0"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30.0"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30.0"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30.0"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30.0"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30.0"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30.0"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30.0"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30.0"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30.0"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30.0"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30.0"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30.0"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30.0"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30.0"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30.0"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30.0"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30.0"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30.0"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30.0"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30.0"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30.0"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30.0"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30.0"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30.0"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30.0"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30.0"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30.0"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30.0"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30.0"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30.0"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30.0"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30.0"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30.0"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30.0"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30.0"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30.0"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30.0"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30.0"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30.0"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30.0"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30.0"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30.0"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30.0"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30.0"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30.0"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30.0"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30.0"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30.0"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30.0"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30.0"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30.0"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30.0"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30.0"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30.0"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30.0"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30.0"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30.0"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30.0"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30.0"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30.0"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30.0"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30.0"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30.0"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30.0"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30.0"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30.0"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30.0"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30.0"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30.0"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30.0"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30.0"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30.0"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30.0"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30.0"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30.0"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30.0"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30.0"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30.0"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30.0"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30.0"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30.0"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30.0"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30.0"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30.0"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30.0"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30.0"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30.0"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30.0"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30.0"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30.0"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30.0"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30.0"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30.0"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30.0"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30.0"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30.0"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30.0"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30.0"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30.0"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30.0"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30.0"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30.0"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30.0"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30.0"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30.0"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30.0"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30.0"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30.0"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30.0"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30.0"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30.0"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30.0"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30.0"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30.0"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30.0"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30.0"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30.0"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30.0"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30.0"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30.0"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30.0"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30.0"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30.0"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30.0"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30.0"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30.0"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30.0"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30.0"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30.0"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30.0"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30.0"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30.0"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30.0"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30.0"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30.0"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30.0"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30.0"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30.0"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30.0"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30.0"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30.0"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30.0"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30.0"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30.0"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30.0"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30.0"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30.0"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30.0"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30.0"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30.0"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30.0"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30.0"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30.0"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30.0"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30.0"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30.0"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30.0"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30.0"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30.0"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30.0"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30.0"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30.0"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30.0"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30.0"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30.0"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30.0"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30.0"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30.0"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30.0"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30.0"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30.0"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30.0"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30.0"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30.0"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30.0"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30.0"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30.0"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30.0"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30.0"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30.0"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30.0"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30.0"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30.0"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30.0"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30.0"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30.0"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30.0"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30.0"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30.0"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30.0"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30.0"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30.0"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30.0"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30.0"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30.0"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30.0"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30.0"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30.0"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30.0"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30.0"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30.0"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30.0"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30.0"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30.0"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30.0"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30.0"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30.0"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30.0"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30.0"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30.0"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30.0"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30.0"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30.0"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30.0"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30.0"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30.0"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30.0"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30.0"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30.0"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30.0"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30.0"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30.0"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30.0"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30.0"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30.0"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30.0"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30.0"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30.0"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30.0"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30.0"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30.0"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30.0"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30.0"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30.0"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30.0"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30.0"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30.0"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30.0"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30.0"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30.0"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30.0"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30.0"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30.0"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30.0"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30.0"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30.0"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30.0"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30.0"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30.0"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30.0"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30.0"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30.0"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30.0"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30.0"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30.0"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30.0"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30.0"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30.0"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30.0"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30.0"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30.0"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30.0"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30.0"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30.0"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30.0"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30.0"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30.0"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30.0"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30.0"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30.0"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30.0"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30.0"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30.0"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30.0"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30.0"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30.0"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30.0"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30.0"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30.0"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30.0"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30.0"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30.0"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30.0"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30.0"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30.0"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30.0"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30.0"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30.0"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30.0"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30.0"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30.0"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30.0"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30.0"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30.0"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30.0"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30.0"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30.0"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30.0"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30.0"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30.0"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30.0"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30.0"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30.0"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30.0"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30.0"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30.0"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30.0"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30.0"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30.0"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30.0"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30.0"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30.0"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30.0"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30.0"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30.0"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30.0"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30.0"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30.0"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30.0"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30.0"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30.0"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30.0"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30.0"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30.0"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30.0"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30.0"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30.0"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30.0"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30.0"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30.0"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30.0"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30.0"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30.0"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30.0"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30.0"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30.0"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30.0"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30.0"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30.0"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30.0"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30.0"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30.0"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30.0"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30.0"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30.0"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30.0"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30.0"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30.0"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30.0"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30.0"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30.0"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30.0"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30.0"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30.0"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30.0"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30.0"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30.0"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30.0"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30.0"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30.0"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30.0"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30.0"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30.0"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30.0"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30.0"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30.0"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30.0"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30.0"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30.0"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30.0"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30.0"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30.0"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30.0"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30.0"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30.0"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30.0"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30.0"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30.0"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30.0"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30.0"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30.0"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30.0"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30.0"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30.0"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30.0"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30.0"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30.0"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30.0"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30.0"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30.0"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30.0"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30.0"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30.0"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30.0"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30.0"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30.0"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30.0"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30.0"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30.0"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30.0"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30.0"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30.0"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30.0"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30.0"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30.0"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30.0"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30.0"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30.0"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30.0"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30.0"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30.0"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30.0"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30.0"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30.0"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30.0"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30.0"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30.0"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30.0"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30.0"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30.0"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30.0"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30.0"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30.0"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30.0"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30.0"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30.0"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30.0"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30.0"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30.0"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30.0"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30.0"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30.0"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30.0"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30.0"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30.0"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30.0"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30.0"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30.0"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30.0"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30.0"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30.0"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30.0"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30.0"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30.0"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30.0"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30.0"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30.0"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30.0"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30.0"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30.0"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30.0"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30.0"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30.0"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30.0"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30.0"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30.0"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30.0"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30.0"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30.0"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30.0"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30.0"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30.0"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30.0"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30.0"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30.0"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30.0"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30.0"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30.0"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30.0"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30.0"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30.0"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30.0"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30.0"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30.0"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30.0"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30.0"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30.0"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30.0"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30.0"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30.0"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30.0"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30.0"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autoFilter ref="$A$2:$L$66">
    <filterColumn colId="0">
      <filters>
        <filter val="EQAVL.IN Aditya Vision Ltd&#10;Aditya Vision Limited, Q4 2026 Earnings Call, May 08, 2026&#10;08 May 26 • Event Transcript"/>
        <filter val="EQEMIL.IN Electronics Mart India Ltd&#10;Electronics Mart India Limited, Q3 2026 Earnings Call, Feb 09, 2026&#10;09 Feb 26 • Event Transcript"/>
        <filter val="EQAVL.IN Aditya Vision Ltd&#10;Aditya Vision Limited, Q3 2026 Earnings Call, Jan 27, 2026&#10;27 Jan 26 • Event Transcript"/>
        <filter val="STNEWJAISA.IN Newjaisa Technologies Ltd&#10;Newjaisa Technologies Limited, H2 2026 Earnings Call, May 28, 2026&#10;28 May 26 • Event Transcript"/>
        <filter val="EQEMIL.IN Electronics Mart India Ltd&#10;Electronics Mart India Limited, Q4 2026 Earnings Call, May 22, 2026&#10;22 May 26 • Event Transcript"/>
        <filter val="EQAVL.IN Aditya Vision Ltd&#10;Q3 2026 Earnings Call&#10;27 Jan 26 • Event Transcript"/>
        <filter val="EQEBGNG.IN GNG Electronics Ltd&#10;Q3 2026 Earnings Call&#10;05 Feb 26 • Event Transcript"/>
      </filters>
    </filterColumn>
  </autoFilter>
  <mergeCells count="1">
    <mergeCell ref="A1:L1"/>
  </mergeCells>
  <hyperlinks>
    <hyperlink r:id="rId1" ref="A1"/>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26.78"/>
    <col customWidth="1" min="3" max="3" width="18.11"/>
    <col customWidth="1" min="4" max="5" width="9.0"/>
    <col customWidth="1" min="6" max="6" width="20.0"/>
    <col customWidth="1" min="7" max="7" width="19.44"/>
    <col customWidth="1" min="8" max="26" width="10.56"/>
  </cols>
  <sheetData>
    <row r="1" ht="15.75" customHeight="1"/>
    <row r="2" ht="15.75" customHeight="1">
      <c r="B2" s="110" t="s">
        <v>817</v>
      </c>
    </row>
    <row r="3" ht="15.75" customHeight="1"/>
    <row r="4" ht="15.75" customHeight="1">
      <c r="B4" s="2" t="s">
        <v>82</v>
      </c>
      <c r="C4" s="2" t="s">
        <v>818</v>
      </c>
      <c r="D4" s="2" t="s">
        <v>819</v>
      </c>
      <c r="E4" s="2" t="s">
        <v>820</v>
      </c>
      <c r="F4" s="2" t="s">
        <v>821</v>
      </c>
      <c r="G4" s="2" t="s">
        <v>822</v>
      </c>
    </row>
    <row r="5" ht="15.75" customHeight="1">
      <c r="B5" s="3" t="s">
        <v>823</v>
      </c>
      <c r="C5" s="3" t="s">
        <v>824</v>
      </c>
      <c r="E5" s="3" t="s">
        <v>825</v>
      </c>
      <c r="F5" s="3" t="s">
        <v>823</v>
      </c>
      <c r="H5" s="4" t="s">
        <v>826</v>
      </c>
    </row>
    <row r="6" ht="15.75" customHeight="1"/>
    <row r="7" ht="15.75" customHeight="1"/>
    <row r="8" ht="15.75" customHeight="1"/>
    <row r="9" ht="15.75" customHeight="1"/>
    <row r="10" ht="15.75" customHeight="1"/>
    <row r="11" ht="15.75" customHeight="1"/>
    <row r="12" ht="15.75" customHeight="1"/>
    <row r="13" ht="15.75" customHeight="1"/>
    <row r="14" ht="15.75" customHeight="1">
      <c r="B14" s="110" t="s">
        <v>827</v>
      </c>
    </row>
    <row r="15" ht="15.75" customHeight="1"/>
    <row r="16" ht="15.75" customHeight="1">
      <c r="B16" s="2" t="s">
        <v>828</v>
      </c>
      <c r="C16" s="2" t="s">
        <v>829</v>
      </c>
      <c r="D16" s="2" t="s">
        <v>830</v>
      </c>
      <c r="E16" s="2" t="s">
        <v>831</v>
      </c>
      <c r="F16" s="2" t="s">
        <v>822</v>
      </c>
    </row>
    <row r="17" ht="15.75" customHeight="1"/>
    <row r="18" ht="15.75" customHeight="1"/>
    <row r="19" ht="15.75" customHeight="1"/>
    <row r="20" ht="15.75" customHeight="1"/>
    <row r="21" ht="15.75" customHeight="1"/>
    <row r="22" ht="15.75" customHeight="1"/>
    <row r="23" ht="15.75" customHeight="1"/>
    <row r="24" ht="15.75" customHeight="1"/>
    <row r="25" ht="15.75" customHeight="1">
      <c r="B25" s="110" t="s">
        <v>832</v>
      </c>
    </row>
    <row r="26" ht="15.75" customHeight="1"/>
    <row r="27" ht="15.75" customHeight="1">
      <c r="B27" s="2" t="s">
        <v>82</v>
      </c>
      <c r="C27" s="2" t="s">
        <v>833</v>
      </c>
      <c r="D27" s="2" t="s">
        <v>85</v>
      </c>
      <c r="E27" s="2" t="s">
        <v>831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5"/>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11.44"/>
    <col customWidth="1" min="3" max="26" width="10.56"/>
  </cols>
  <sheetData>
    <row r="1" ht="15.75" customHeight="1"/>
    <row r="2" ht="15.75" customHeight="1">
      <c r="B2" s="110" t="s">
        <v>834</v>
      </c>
    </row>
    <row r="3" ht="15.75" customHeight="1"/>
    <row r="4" ht="15.75" customHeight="1">
      <c r="B4" s="111" t="s">
        <v>835</v>
      </c>
      <c r="C4" s="111" t="s">
        <v>836</v>
      </c>
    </row>
    <row r="5" ht="15.75" customHeight="1">
      <c r="B5" s="3" t="s">
        <v>837</v>
      </c>
      <c r="C5" s="3" t="s">
        <v>838</v>
      </c>
    </row>
    <row r="6" ht="15.75" customHeight="1"/>
    <row r="7" ht="15.75" customHeight="1"/>
    <row r="8" ht="15.75" customHeight="1">
      <c r="B8" s="110" t="s">
        <v>839</v>
      </c>
    </row>
    <row r="9" ht="15.75" customHeight="1"/>
    <row r="10" ht="15.75" customHeight="1"/>
    <row r="11" ht="15.75" customHeight="1"/>
    <row r="12" ht="15.75" customHeight="1"/>
    <row r="13" ht="15.75" customHeight="1">
      <c r="B13" s="110" t="s">
        <v>840</v>
      </c>
    </row>
    <row r="14" ht="15.75" customHeight="1">
      <c r="B14" s="3" t="s">
        <v>841</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17.67"/>
    <col customWidth="1" min="3" max="46" width="12.33"/>
    <col customWidth="1" min="47" max="73" width="10.56"/>
  </cols>
  <sheetData>
    <row r="1" ht="15.75" customHeight="1">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row>
    <row r="2" ht="15.75" customHeight="1">
      <c r="B2" s="110" t="s">
        <v>842</v>
      </c>
      <c r="C2" s="113"/>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row>
    <row r="3" ht="15.75" customHeight="1">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row>
    <row r="4" ht="16.5" customHeight="1">
      <c r="B4" s="114"/>
      <c r="C4" s="115" t="s">
        <v>843</v>
      </c>
      <c r="D4" s="116"/>
      <c r="E4" s="116"/>
      <c r="F4" s="117"/>
      <c r="G4" s="115" t="s">
        <v>150</v>
      </c>
      <c r="H4" s="116"/>
      <c r="I4" s="116"/>
      <c r="J4" s="116"/>
      <c r="K4" s="116"/>
      <c r="L4" s="116"/>
      <c r="M4" s="116"/>
      <c r="N4" s="117"/>
      <c r="O4" s="115" t="s">
        <v>844</v>
      </c>
      <c r="P4" s="116"/>
      <c r="Q4" s="116"/>
      <c r="R4" s="116"/>
      <c r="S4" s="116"/>
      <c r="T4" s="116"/>
      <c r="U4" s="116"/>
      <c r="V4" s="117"/>
      <c r="W4" s="115" t="s">
        <v>845</v>
      </c>
      <c r="X4" s="116"/>
      <c r="Y4" s="116"/>
      <c r="Z4" s="116"/>
      <c r="AA4" s="116"/>
      <c r="AB4" s="116"/>
      <c r="AC4" s="116"/>
      <c r="AD4" s="117"/>
      <c r="AE4" s="115" t="s">
        <v>846</v>
      </c>
      <c r="AF4" s="116"/>
      <c r="AG4" s="116"/>
      <c r="AH4" s="116"/>
      <c r="AI4" s="116"/>
      <c r="AJ4" s="116"/>
      <c r="AK4" s="116"/>
      <c r="AL4" s="117"/>
      <c r="AM4" s="115" t="s">
        <v>847</v>
      </c>
      <c r="AN4" s="116"/>
      <c r="AO4" s="116"/>
      <c r="AP4" s="116"/>
      <c r="AQ4" s="116"/>
      <c r="AR4" s="116"/>
      <c r="AS4" s="116"/>
      <c r="AT4" s="117"/>
    </row>
    <row r="5" ht="15.75" customHeight="1">
      <c r="B5" s="118" t="s">
        <v>848</v>
      </c>
      <c r="C5" s="119" t="s">
        <v>849</v>
      </c>
      <c r="D5" s="120" t="s">
        <v>850</v>
      </c>
      <c r="E5" s="120" t="s">
        <v>851</v>
      </c>
      <c r="F5" s="121" t="s">
        <v>852</v>
      </c>
      <c r="G5" s="119" t="s">
        <v>853</v>
      </c>
      <c r="H5" s="120" t="s">
        <v>854</v>
      </c>
      <c r="I5" s="120" t="s">
        <v>855</v>
      </c>
      <c r="J5" s="120" t="s">
        <v>856</v>
      </c>
      <c r="K5" s="120" t="s">
        <v>857</v>
      </c>
      <c r="L5" s="120" t="s">
        <v>858</v>
      </c>
      <c r="M5" s="120" t="s">
        <v>859</v>
      </c>
      <c r="N5" s="121" t="s">
        <v>860</v>
      </c>
      <c r="O5" s="119" t="s">
        <v>853</v>
      </c>
      <c r="P5" s="120" t="s">
        <v>854</v>
      </c>
      <c r="Q5" s="120" t="s">
        <v>855</v>
      </c>
      <c r="R5" s="120" t="s">
        <v>856</v>
      </c>
      <c r="S5" s="120" t="s">
        <v>857</v>
      </c>
      <c r="T5" s="120" t="s">
        <v>858</v>
      </c>
      <c r="U5" s="120" t="s">
        <v>859</v>
      </c>
      <c r="V5" s="121" t="s">
        <v>860</v>
      </c>
      <c r="W5" s="119" t="s">
        <v>853</v>
      </c>
      <c r="X5" s="120" t="s">
        <v>854</v>
      </c>
      <c r="Y5" s="120" t="s">
        <v>855</v>
      </c>
      <c r="Z5" s="120" t="s">
        <v>856</v>
      </c>
      <c r="AA5" s="120" t="s">
        <v>857</v>
      </c>
      <c r="AB5" s="120" t="s">
        <v>858</v>
      </c>
      <c r="AC5" s="120" t="s">
        <v>859</v>
      </c>
      <c r="AD5" s="121" t="s">
        <v>860</v>
      </c>
      <c r="AE5" s="119" t="s">
        <v>853</v>
      </c>
      <c r="AF5" s="120" t="s">
        <v>854</v>
      </c>
      <c r="AG5" s="120" t="s">
        <v>855</v>
      </c>
      <c r="AH5" s="120" t="s">
        <v>856</v>
      </c>
      <c r="AI5" s="120" t="s">
        <v>857</v>
      </c>
      <c r="AJ5" s="120" t="s">
        <v>858</v>
      </c>
      <c r="AK5" s="120" t="s">
        <v>859</v>
      </c>
      <c r="AL5" s="121" t="s">
        <v>860</v>
      </c>
      <c r="AM5" s="120" t="s">
        <v>853</v>
      </c>
      <c r="AN5" s="120" t="s">
        <v>854</v>
      </c>
      <c r="AO5" s="120" t="s">
        <v>855</v>
      </c>
      <c r="AP5" s="120" t="s">
        <v>856</v>
      </c>
      <c r="AQ5" s="120" t="s">
        <v>857</v>
      </c>
      <c r="AR5" s="120" t="s">
        <v>858</v>
      </c>
      <c r="AS5" s="120" t="s">
        <v>859</v>
      </c>
      <c r="AT5" s="121" t="s">
        <v>860</v>
      </c>
    </row>
    <row r="6" ht="15.75" customHeight="1">
      <c r="B6" s="122" t="s">
        <v>861</v>
      </c>
      <c r="C6" s="123">
        <v>7.09</v>
      </c>
      <c r="D6" s="124">
        <v>0.0114</v>
      </c>
      <c r="E6" s="125">
        <v>1988.0</v>
      </c>
      <c r="F6" s="126">
        <f t="shared" ref="F6:F7" si="1">D6*E6</f>
        <v>22.6632</v>
      </c>
      <c r="G6" s="127"/>
      <c r="H6" s="112">
        <f>E6*(1+G6)</f>
        <v>1988</v>
      </c>
      <c r="I6" s="128"/>
      <c r="J6" s="112">
        <f>I6*H6</f>
        <v>0</v>
      </c>
      <c r="K6" s="112"/>
      <c r="L6" s="128"/>
      <c r="M6" s="124">
        <f>(D6-I6)*(1-L6)</f>
        <v>0.0114</v>
      </c>
      <c r="N6" s="129">
        <f>M6*H6</f>
        <v>22.6632</v>
      </c>
      <c r="O6" s="130"/>
      <c r="P6" s="112">
        <f>H6*(1+O6)</f>
        <v>1988</v>
      </c>
      <c r="Q6" s="131"/>
      <c r="R6" s="112">
        <f>Q6*P6</f>
        <v>0</v>
      </c>
      <c r="S6" s="112"/>
      <c r="T6" s="131"/>
      <c r="U6" s="112">
        <f>(M6-Q6)*(1-T6)</f>
        <v>0.0114</v>
      </c>
      <c r="V6" s="129">
        <f>U6*P6</f>
        <v>22.6632</v>
      </c>
      <c r="W6" s="130"/>
      <c r="X6" s="112">
        <f>P6*(1+W6)</f>
        <v>1988</v>
      </c>
      <c r="Y6" s="131"/>
      <c r="Z6" s="112">
        <f>Y6*X6</f>
        <v>0</v>
      </c>
      <c r="AA6" s="112"/>
      <c r="AB6" s="131"/>
      <c r="AC6" s="112">
        <f>(U6-Y6)*(1-AB6)</f>
        <v>0.0114</v>
      </c>
      <c r="AD6" s="129">
        <f>AC6*X6</f>
        <v>22.6632</v>
      </c>
      <c r="AE6" s="130"/>
      <c r="AF6" s="112">
        <f>X6*(1+AE6)</f>
        <v>1988</v>
      </c>
      <c r="AG6" s="131"/>
      <c r="AH6" s="112">
        <f>AG6*AF6</f>
        <v>0</v>
      </c>
      <c r="AI6" s="112"/>
      <c r="AJ6" s="131"/>
      <c r="AK6" s="112">
        <f>(AC6-AG6)*(1-AJ6)</f>
        <v>0.0114</v>
      </c>
      <c r="AL6" s="129">
        <f>AK6*AF6</f>
        <v>22.6632</v>
      </c>
      <c r="AM6" s="131"/>
      <c r="AN6" s="112">
        <f>AF6*(1+AM6)</f>
        <v>1988</v>
      </c>
      <c r="AO6" s="112"/>
      <c r="AP6" s="112">
        <f>AO6*AN6</f>
        <v>0</v>
      </c>
      <c r="AQ6" s="112"/>
      <c r="AR6" s="131"/>
      <c r="AS6" s="112">
        <f>(AK6-AO6)*(1-AR6)</f>
        <v>0.0114</v>
      </c>
      <c r="AT6" s="129">
        <f>AS6*AN6</f>
        <v>22.6632</v>
      </c>
    </row>
    <row r="7" ht="15.75" customHeight="1">
      <c r="B7" s="122" t="s">
        <v>862</v>
      </c>
      <c r="C7" s="132">
        <v>65.1</v>
      </c>
      <c r="D7" s="124">
        <v>0.0361</v>
      </c>
      <c r="E7" s="125">
        <v>1988.0</v>
      </c>
      <c r="F7" s="126">
        <f t="shared" si="1"/>
        <v>71.7668</v>
      </c>
      <c r="G7" s="127"/>
      <c r="H7" s="112"/>
      <c r="I7" s="128"/>
      <c r="J7" s="112"/>
      <c r="K7" s="112"/>
      <c r="L7" s="128"/>
      <c r="M7" s="112"/>
      <c r="N7" s="129"/>
      <c r="O7" s="130"/>
      <c r="P7" s="112"/>
      <c r="Q7" s="131"/>
      <c r="R7" s="112"/>
      <c r="S7" s="112"/>
      <c r="T7" s="131"/>
      <c r="U7" s="112"/>
      <c r="V7" s="129"/>
      <c r="W7" s="130"/>
      <c r="X7" s="112"/>
      <c r="Y7" s="131"/>
      <c r="Z7" s="112"/>
      <c r="AA7" s="112"/>
      <c r="AB7" s="131"/>
      <c r="AC7" s="112"/>
      <c r="AD7" s="129"/>
      <c r="AE7" s="130"/>
      <c r="AF7" s="112"/>
      <c r="AG7" s="131"/>
      <c r="AH7" s="112"/>
      <c r="AI7" s="112"/>
      <c r="AJ7" s="131"/>
      <c r="AK7" s="112"/>
      <c r="AL7" s="129"/>
      <c r="AM7" s="131"/>
      <c r="AN7" s="112"/>
      <c r="AO7" s="112"/>
      <c r="AP7" s="112"/>
      <c r="AQ7" s="112"/>
      <c r="AR7" s="131"/>
      <c r="AS7" s="112"/>
      <c r="AT7" s="129"/>
    </row>
    <row r="8" ht="15.75" customHeight="1">
      <c r="B8" s="133"/>
      <c r="C8" s="134"/>
      <c r="D8" s="135"/>
      <c r="E8" s="136"/>
      <c r="F8" s="137"/>
      <c r="G8" s="138"/>
      <c r="H8" s="136"/>
      <c r="I8" s="139"/>
      <c r="J8" s="136"/>
      <c r="K8" s="136"/>
      <c r="L8" s="139"/>
      <c r="M8" s="136"/>
      <c r="N8" s="140"/>
      <c r="O8" s="141"/>
      <c r="P8" s="136"/>
      <c r="Q8" s="142"/>
      <c r="R8" s="136"/>
      <c r="S8" s="136"/>
      <c r="T8" s="142"/>
      <c r="U8" s="136"/>
      <c r="V8" s="140"/>
      <c r="W8" s="141"/>
      <c r="X8" s="136"/>
      <c r="Y8" s="142"/>
      <c r="Z8" s="136"/>
      <c r="AA8" s="136"/>
      <c r="AB8" s="142"/>
      <c r="AC8" s="136"/>
      <c r="AD8" s="140"/>
      <c r="AE8" s="141"/>
      <c r="AF8" s="136"/>
      <c r="AG8" s="142"/>
      <c r="AH8" s="136"/>
      <c r="AI8" s="136"/>
      <c r="AJ8" s="142"/>
      <c r="AK8" s="136"/>
      <c r="AL8" s="140"/>
      <c r="AM8" s="142"/>
      <c r="AN8" s="136"/>
      <c r="AO8" s="136"/>
      <c r="AP8" s="136"/>
      <c r="AQ8" s="136"/>
      <c r="AR8" s="142"/>
      <c r="AS8" s="136"/>
      <c r="AT8" s="140"/>
    </row>
    <row r="9" ht="15.75" customHeight="1">
      <c r="B9" s="133" t="s">
        <v>863</v>
      </c>
      <c r="C9" s="134">
        <f t="shared" ref="C9:D9" si="2">SUM(C6:C8)</f>
        <v>72.19</v>
      </c>
      <c r="D9" s="135">
        <f t="shared" si="2"/>
        <v>0.0475</v>
      </c>
      <c r="E9" s="136"/>
      <c r="F9" s="137">
        <f>SUM(F6:F8)</f>
        <v>94.43</v>
      </c>
      <c r="G9" s="143"/>
      <c r="H9" s="136"/>
      <c r="I9" s="135">
        <f t="shared" ref="I9:J9" si="3">SUM(I6:I8)</f>
        <v>0</v>
      </c>
      <c r="J9" s="136">
        <f t="shared" si="3"/>
        <v>0</v>
      </c>
      <c r="K9" s="136"/>
      <c r="L9" s="136"/>
      <c r="M9" s="135">
        <f t="shared" ref="M9:N9" si="4">SUM(M6:M8)</f>
        <v>0.0114</v>
      </c>
      <c r="N9" s="140">
        <f t="shared" si="4"/>
        <v>22.6632</v>
      </c>
      <c r="O9" s="143"/>
      <c r="P9" s="136"/>
      <c r="Q9" s="136">
        <f t="shared" ref="Q9:R9" si="5">SUM(Q6:Q8)</f>
        <v>0</v>
      </c>
      <c r="R9" s="136">
        <f t="shared" si="5"/>
        <v>0</v>
      </c>
      <c r="S9" s="136"/>
      <c r="T9" s="136"/>
      <c r="U9" s="136">
        <f t="shared" ref="U9:V9" si="6">SUM(U6:U8)</f>
        <v>0.0114</v>
      </c>
      <c r="V9" s="140">
        <f t="shared" si="6"/>
        <v>22.6632</v>
      </c>
      <c r="W9" s="143"/>
      <c r="X9" s="136"/>
      <c r="Y9" s="136">
        <f t="shared" ref="Y9:Z9" si="7">SUM(Y6:Y8)</f>
        <v>0</v>
      </c>
      <c r="Z9" s="136">
        <f t="shared" si="7"/>
        <v>0</v>
      </c>
      <c r="AA9" s="136"/>
      <c r="AB9" s="136"/>
      <c r="AC9" s="136">
        <f t="shared" ref="AC9:AD9" si="8">SUM(AC6:AC8)</f>
        <v>0.0114</v>
      </c>
      <c r="AD9" s="140">
        <f t="shared" si="8"/>
        <v>22.6632</v>
      </c>
      <c r="AE9" s="143"/>
      <c r="AF9" s="136"/>
      <c r="AG9" s="136">
        <f t="shared" ref="AG9:AH9" si="9">SUM(AG6:AG8)</f>
        <v>0</v>
      </c>
      <c r="AH9" s="136">
        <f t="shared" si="9"/>
        <v>0</v>
      </c>
      <c r="AI9" s="136"/>
      <c r="AJ9" s="136"/>
      <c r="AK9" s="136">
        <f t="shared" ref="AK9:AL9" si="10">SUM(AK6:AK8)</f>
        <v>0.0114</v>
      </c>
      <c r="AL9" s="140">
        <f t="shared" si="10"/>
        <v>22.6632</v>
      </c>
      <c r="AM9" s="136"/>
      <c r="AN9" s="136"/>
      <c r="AO9" s="136">
        <f t="shared" ref="AO9:AP9" si="11">SUM(AO6:AO8)</f>
        <v>0</v>
      </c>
      <c r="AP9" s="136">
        <f t="shared" si="11"/>
        <v>0</v>
      </c>
      <c r="AQ9" s="136"/>
      <c r="AR9" s="136"/>
      <c r="AS9" s="136">
        <f t="shared" ref="AS9:AT9" si="12">SUM(AS6:AS8)</f>
        <v>0.0114</v>
      </c>
      <c r="AT9" s="140">
        <f t="shared" si="12"/>
        <v>22.6632</v>
      </c>
    </row>
    <row r="10" ht="15.75" customHeight="1">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row>
    <row r="11" ht="15.75" hidden="1" customHeight="1">
      <c r="B11" s="144" t="s">
        <v>82</v>
      </c>
      <c r="C11" s="145" t="s">
        <v>864</v>
      </c>
      <c r="D11" s="145" t="s">
        <v>865</v>
      </c>
      <c r="E11" s="145" t="s">
        <v>866</v>
      </c>
      <c r="F11" s="145" t="s">
        <v>83</v>
      </c>
      <c r="G11" s="145" t="s">
        <v>867</v>
      </c>
      <c r="H11" s="146" t="s">
        <v>868</v>
      </c>
      <c r="I11" s="146" t="s">
        <v>869</v>
      </c>
      <c r="J11" s="147"/>
      <c r="K11" s="148" t="s">
        <v>870</v>
      </c>
      <c r="L11" s="149"/>
      <c r="M11" s="150"/>
      <c r="N11" s="148" t="s">
        <v>871</v>
      </c>
      <c r="O11" s="151"/>
      <c r="P11" s="151"/>
      <c r="Q11" s="151"/>
      <c r="R11" s="151"/>
      <c r="S11" s="149"/>
      <c r="T11" s="150"/>
      <c r="U11" s="152" t="s">
        <v>872</v>
      </c>
      <c r="V11" s="151"/>
      <c r="W11" s="151"/>
      <c r="X11" s="151"/>
      <c r="Y11" s="151"/>
      <c r="Z11" s="151"/>
      <c r="AA11" s="151"/>
      <c r="AB11" s="149"/>
      <c r="AC11" s="153"/>
      <c r="AD11" s="154" t="s">
        <v>873</v>
      </c>
      <c r="AL11" s="153"/>
      <c r="AM11" s="152" t="s">
        <v>874</v>
      </c>
      <c r="AN11" s="151"/>
      <c r="AO11" s="151"/>
      <c r="AP11" s="151"/>
      <c r="AQ11" s="151"/>
      <c r="AR11" s="151"/>
      <c r="AS11" s="151"/>
      <c r="AT11" s="151"/>
      <c r="AU11" s="150" t="s">
        <v>875</v>
      </c>
      <c r="AV11" s="155" t="s">
        <v>876</v>
      </c>
      <c r="BD11" s="150" t="s">
        <v>875</v>
      </c>
      <c r="BE11" s="152" t="s">
        <v>877</v>
      </c>
      <c r="BF11" s="151"/>
      <c r="BG11" s="151"/>
      <c r="BH11" s="151"/>
      <c r="BI11" s="151"/>
      <c r="BJ11" s="151"/>
      <c r="BK11" s="151"/>
      <c r="BL11" s="151"/>
      <c r="BM11" s="156"/>
      <c r="BN11" s="157" t="s">
        <v>878</v>
      </c>
      <c r="BO11" s="151"/>
      <c r="BP11" s="151"/>
      <c r="BQ11" s="151"/>
      <c r="BR11" s="151"/>
      <c r="BS11" s="151"/>
      <c r="BT11" s="151"/>
      <c r="BU11" s="149"/>
    </row>
    <row r="12" ht="15.75" hidden="1" customHeight="1">
      <c r="B12" s="158"/>
      <c r="C12" s="159"/>
      <c r="D12" s="160"/>
      <c r="E12" s="160"/>
      <c r="F12" s="160"/>
      <c r="G12" s="161"/>
      <c r="H12" s="160"/>
      <c r="I12" s="160"/>
      <c r="J12" s="162"/>
      <c r="K12" s="163" t="s">
        <v>879</v>
      </c>
      <c r="L12" s="164" t="s">
        <v>880</v>
      </c>
      <c r="M12" s="165"/>
      <c r="N12" s="161" t="s">
        <v>881</v>
      </c>
      <c r="O12" s="166" t="s">
        <v>882</v>
      </c>
      <c r="P12" s="167" t="s">
        <v>883</v>
      </c>
      <c r="Q12" s="167" t="s">
        <v>884</v>
      </c>
      <c r="R12" s="161" t="s">
        <v>885</v>
      </c>
      <c r="S12" s="168" t="s">
        <v>886</v>
      </c>
      <c r="T12" s="165"/>
      <c r="U12" s="163" t="s">
        <v>881</v>
      </c>
      <c r="V12" s="169" t="s">
        <v>882</v>
      </c>
      <c r="W12" s="170" t="s">
        <v>883</v>
      </c>
      <c r="X12" s="170" t="s">
        <v>884</v>
      </c>
      <c r="Y12" s="170" t="s">
        <v>887</v>
      </c>
      <c r="Z12" s="171" t="s">
        <v>885</v>
      </c>
      <c r="AA12" s="170" t="s">
        <v>888</v>
      </c>
      <c r="AB12" s="172" t="s">
        <v>886</v>
      </c>
      <c r="AC12" s="173"/>
      <c r="AD12" s="163" t="s">
        <v>889</v>
      </c>
      <c r="AE12" s="174" t="s">
        <v>890</v>
      </c>
      <c r="AF12" s="174" t="s">
        <v>891</v>
      </c>
      <c r="AG12" s="174" t="s">
        <v>892</v>
      </c>
      <c r="AH12" s="174" t="s">
        <v>893</v>
      </c>
      <c r="AI12" s="175" t="s">
        <v>894</v>
      </c>
      <c r="AJ12" s="174" t="s">
        <v>895</v>
      </c>
      <c r="AK12" s="174" t="s">
        <v>896</v>
      </c>
      <c r="AL12" s="173"/>
      <c r="AM12" s="163" t="s">
        <v>881</v>
      </c>
      <c r="AN12" s="169" t="s">
        <v>882</v>
      </c>
      <c r="AO12" s="170" t="s">
        <v>883</v>
      </c>
      <c r="AP12" s="170" t="s">
        <v>884</v>
      </c>
      <c r="AQ12" s="170" t="s">
        <v>887</v>
      </c>
      <c r="AR12" s="171" t="s">
        <v>885</v>
      </c>
      <c r="AS12" s="170" t="s">
        <v>888</v>
      </c>
      <c r="AT12" s="172" t="s">
        <v>886</v>
      </c>
      <c r="AU12" s="165"/>
      <c r="AV12" s="163" t="s">
        <v>889</v>
      </c>
      <c r="AW12" s="174" t="s">
        <v>890</v>
      </c>
      <c r="AX12" s="174" t="s">
        <v>891</v>
      </c>
      <c r="AY12" s="174" t="s">
        <v>892</v>
      </c>
      <c r="AZ12" s="174" t="s">
        <v>893</v>
      </c>
      <c r="BA12" s="175" t="s">
        <v>894</v>
      </c>
      <c r="BB12" s="174" t="s">
        <v>895</v>
      </c>
      <c r="BC12" s="174" t="s">
        <v>896</v>
      </c>
      <c r="BD12" s="165"/>
      <c r="BE12" s="176" t="s">
        <v>881</v>
      </c>
      <c r="BF12" s="169" t="s">
        <v>882</v>
      </c>
      <c r="BG12" s="177" t="s">
        <v>883</v>
      </c>
      <c r="BH12" s="177" t="s">
        <v>884</v>
      </c>
      <c r="BI12" s="177" t="s">
        <v>887</v>
      </c>
      <c r="BJ12" s="178" t="s">
        <v>885</v>
      </c>
      <c r="BK12" s="177" t="s">
        <v>888</v>
      </c>
      <c r="BL12" s="172" t="s">
        <v>886</v>
      </c>
      <c r="BM12" s="179"/>
      <c r="BN12" s="180" t="s">
        <v>889</v>
      </c>
      <c r="BO12" s="181" t="s">
        <v>890</v>
      </c>
      <c r="BP12" s="181" t="s">
        <v>891</v>
      </c>
      <c r="BQ12" s="181" t="s">
        <v>892</v>
      </c>
      <c r="BR12" s="181" t="s">
        <v>893</v>
      </c>
      <c r="BS12" s="182" t="s">
        <v>894</v>
      </c>
      <c r="BT12" s="181" t="s">
        <v>895</v>
      </c>
      <c r="BU12" s="181" t="s">
        <v>896</v>
      </c>
    </row>
    <row r="13" ht="15.75" hidden="1" customHeight="1">
      <c r="B13" s="183" t="s">
        <v>93</v>
      </c>
      <c r="C13" s="184" t="s">
        <v>897</v>
      </c>
      <c r="D13" s="185" t="s">
        <v>898</v>
      </c>
      <c r="E13" s="185" t="s">
        <v>899</v>
      </c>
      <c r="F13" s="185" t="s">
        <v>900</v>
      </c>
      <c r="G13" s="186" t="s">
        <v>901</v>
      </c>
      <c r="H13" s="165" t="s">
        <v>902</v>
      </c>
      <c r="I13" s="187" t="s">
        <v>903</v>
      </c>
      <c r="J13" s="162"/>
      <c r="K13" s="188" t="s">
        <v>120</v>
      </c>
      <c r="L13" s="189">
        <v>119.21071428571429</v>
      </c>
      <c r="M13" s="165"/>
      <c r="N13" s="190">
        <v>134.18</v>
      </c>
      <c r="O13" s="191">
        <v>0.12556996914227514</v>
      </c>
      <c r="P13" s="192">
        <v>0.198</v>
      </c>
      <c r="Q13" s="192">
        <v>-0.004</v>
      </c>
      <c r="R13" s="193">
        <v>1.542</v>
      </c>
      <c r="S13" s="194">
        <v>25.017</v>
      </c>
      <c r="T13" s="195"/>
      <c r="U13" s="190">
        <v>201.1904761904762</v>
      </c>
      <c r="V13" s="191">
        <v>0.49940733485225963</v>
      </c>
      <c r="W13" s="192">
        <v>0.194</v>
      </c>
      <c r="X13" s="192">
        <v>0.003</v>
      </c>
      <c r="Y13" s="192">
        <v>0.27367055771725024</v>
      </c>
      <c r="Z13" s="196">
        <v>1.964</v>
      </c>
      <c r="AA13" s="192">
        <v>0.046488387896230554</v>
      </c>
      <c r="AB13" s="194">
        <v>26.18</v>
      </c>
      <c r="AC13" s="195"/>
      <c r="AD13" s="197" t="s">
        <v>901</v>
      </c>
      <c r="AE13" s="186" t="s">
        <v>904</v>
      </c>
      <c r="AF13" s="186" t="s">
        <v>881</v>
      </c>
      <c r="AG13" s="198">
        <v>134.18</v>
      </c>
      <c r="AH13" s="186">
        <v>2.5</v>
      </c>
      <c r="AI13" s="199">
        <v>335.45000000000005</v>
      </c>
      <c r="AJ13" s="200">
        <v>33.5</v>
      </c>
      <c r="AK13" s="200">
        <v>30.0</v>
      </c>
      <c r="AL13" s="165"/>
      <c r="AM13" s="201">
        <v>269.04761904761904</v>
      </c>
      <c r="AN13" s="202">
        <v>0.3372781065088757</v>
      </c>
      <c r="AO13" s="203">
        <v>0.19</v>
      </c>
      <c r="AP13" s="203">
        <v>0.02</v>
      </c>
      <c r="AQ13" s="203">
        <v>0.179735234215886</v>
      </c>
      <c r="AR13" s="204">
        <v>2.317</v>
      </c>
      <c r="AS13" s="203">
        <v>0.060007639419404235</v>
      </c>
      <c r="AT13" s="205">
        <v>27.751</v>
      </c>
      <c r="AU13" s="165"/>
      <c r="AV13" s="197" t="s">
        <v>901</v>
      </c>
      <c r="AW13" s="186" t="s">
        <v>905</v>
      </c>
      <c r="AX13" s="186" t="s">
        <v>881</v>
      </c>
      <c r="AY13" s="198">
        <v>201.1904761904762</v>
      </c>
      <c r="AZ13" s="186">
        <v>2.5</v>
      </c>
      <c r="BA13" s="199">
        <v>502.9761904761905</v>
      </c>
      <c r="BB13" s="200">
        <v>25.0</v>
      </c>
      <c r="BC13" s="200">
        <v>25.0</v>
      </c>
      <c r="BD13" s="165"/>
      <c r="BE13" s="201">
        <v>320.95238095238096</v>
      </c>
      <c r="BF13" s="202">
        <v>0.192920353982301</v>
      </c>
      <c r="BG13" s="203">
        <v>0.19</v>
      </c>
      <c r="BH13" s="203">
        <v>0.02</v>
      </c>
      <c r="BI13" s="203">
        <v>0.0643072939145446</v>
      </c>
      <c r="BJ13" s="204">
        <v>2.466</v>
      </c>
      <c r="BK13" s="203">
        <v>0.06158336636517592</v>
      </c>
      <c r="BL13" s="206">
        <v>29.46</v>
      </c>
      <c r="BM13" s="165"/>
      <c r="BN13" s="197" t="s">
        <v>901</v>
      </c>
      <c r="BO13" s="186" t="s">
        <v>906</v>
      </c>
      <c r="BP13" s="186" t="s">
        <v>881</v>
      </c>
      <c r="BQ13" s="198">
        <v>320.95238095238096</v>
      </c>
      <c r="BR13" s="186">
        <v>2.5</v>
      </c>
      <c r="BS13" s="199">
        <v>802.3809523809524</v>
      </c>
      <c r="BT13" s="200">
        <v>0.0</v>
      </c>
      <c r="BU13" s="200">
        <v>40.0</v>
      </c>
    </row>
    <row r="14" ht="15.75" customHeight="1">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row>
    <row r="15" ht="15.75" customHeight="1">
      <c r="B15" s="207" t="s">
        <v>907</v>
      </c>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row>
    <row r="16" ht="15.75" customHeight="1">
      <c r="B16" s="208" t="s">
        <v>818</v>
      </c>
      <c r="C16" s="208" t="s">
        <v>185</v>
      </c>
      <c r="D16" s="209" t="s">
        <v>908</v>
      </c>
      <c r="E16" s="209" t="s">
        <v>909</v>
      </c>
      <c r="F16" s="209" t="s">
        <v>910</v>
      </c>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row>
    <row r="17" ht="15.75" customHeight="1">
      <c r="B17" s="3" t="s">
        <v>824</v>
      </c>
      <c r="C17" s="210">
        <v>42116.0</v>
      </c>
      <c r="D17" s="211">
        <v>4.7414322</v>
      </c>
      <c r="E17" s="211">
        <v>12.6594</v>
      </c>
      <c r="F17" s="211">
        <v>17.4008322</v>
      </c>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row>
    <row r="18" ht="15.75" customHeight="1">
      <c r="B18" s="3" t="s">
        <v>911</v>
      </c>
      <c r="C18" s="210">
        <v>42422.0</v>
      </c>
      <c r="D18" s="211">
        <v>9.052494</v>
      </c>
      <c r="E18" s="211">
        <v>39.999756500000004</v>
      </c>
      <c r="F18" s="211">
        <v>49.0522505</v>
      </c>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row>
    <row r="19" ht="15.75" customHeight="1">
      <c r="B19" s="3" t="s">
        <v>912</v>
      </c>
      <c r="C19" s="210">
        <v>42915.0</v>
      </c>
      <c r="D19" s="211">
        <v>25.79871258</v>
      </c>
      <c r="E19" s="211">
        <v>73.03968847099999</v>
      </c>
      <c r="F19" s="211">
        <v>98.83840105099998</v>
      </c>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row>
    <row r="20" ht="15.75" customHeight="1">
      <c r="B20" s="3" t="s">
        <v>913</v>
      </c>
      <c r="C20" s="210">
        <v>43207.0</v>
      </c>
      <c r="D20" s="211">
        <v>80.39741232600001</v>
      </c>
      <c r="E20" s="211">
        <v>199.54980623900002</v>
      </c>
      <c r="F20" s="211">
        <v>279.947218565</v>
      </c>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row>
    <row r="21" ht="15.75" customHeight="1">
      <c r="B21" s="3" t="s">
        <v>914</v>
      </c>
      <c r="C21" s="210">
        <v>43734.0</v>
      </c>
      <c r="D21" s="211">
        <v>46.149938656</v>
      </c>
      <c r="E21" s="211">
        <v>319.462408482</v>
      </c>
      <c r="F21" s="211">
        <v>365.612347138</v>
      </c>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row>
    <row r="22" ht="15.75" customHeight="1">
      <c r="B22" s="3" t="s">
        <v>915</v>
      </c>
      <c r="C22" s="210">
        <v>44223.0</v>
      </c>
      <c r="D22" s="211">
        <v>114.99983663</v>
      </c>
      <c r="E22" s="211">
        <v>516.76460689</v>
      </c>
      <c r="F22" s="211">
        <v>631.76444352</v>
      </c>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row>
    <row r="23" ht="15.75" customHeight="1">
      <c r="B23" s="3" t="s">
        <v>916</v>
      </c>
      <c r="C23" s="210">
        <v>44979.0</v>
      </c>
      <c r="D23" s="211">
        <v>445.403813316</v>
      </c>
      <c r="E23" s="211">
        <v>1542.9975069739999</v>
      </c>
      <c r="F23" s="211">
        <v>1988.40132029</v>
      </c>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row>
    <row r="24" ht="15.75" customHeight="1">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row>
    <row r="25" ht="15.75" customHeight="1">
      <c r="B25" s="212" t="s">
        <v>863</v>
      </c>
      <c r="C25" s="213"/>
      <c r="D25" s="214">
        <f>SUM(D17:D24)</f>
        <v>726.5436397</v>
      </c>
      <c r="E25" s="215"/>
      <c r="F25" s="215"/>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row>
    <row r="26" ht="15.75" customHeight="1">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row>
    <row r="27" ht="15.75" customHeight="1">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row>
    <row r="28" ht="15.75" customHeight="1">
      <c r="B28" s="216" t="s">
        <v>917</v>
      </c>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row>
    <row r="29" ht="15.75" customHeight="1">
      <c r="B29" s="217" t="s">
        <v>835</v>
      </c>
      <c r="C29" s="217" t="s">
        <v>918</v>
      </c>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row>
    <row r="30" ht="15.75" customHeight="1">
      <c r="B30" s="217" t="s">
        <v>919</v>
      </c>
      <c r="C30" s="218">
        <v>0.162</v>
      </c>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row>
    <row r="31" ht="15.75" customHeight="1">
      <c r="B31" s="219" t="s">
        <v>920</v>
      </c>
      <c r="C31" s="220">
        <v>0.067</v>
      </c>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row>
    <row r="32" ht="15.75" customHeight="1">
      <c r="B32" s="219" t="s">
        <v>921</v>
      </c>
      <c r="C32" s="220">
        <v>0.066</v>
      </c>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row>
    <row r="33" ht="15.75" customHeight="1">
      <c r="B33" s="219" t="s">
        <v>922</v>
      </c>
      <c r="C33" s="220">
        <v>0.029</v>
      </c>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row>
    <row r="34" ht="15.75" customHeight="1">
      <c r="B34" s="217" t="s">
        <v>923</v>
      </c>
      <c r="C34" s="218">
        <v>0.63</v>
      </c>
      <c r="D34" s="112"/>
      <c r="E34" s="112"/>
      <c r="F34" s="112"/>
      <c r="G34" s="112"/>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row>
    <row r="35" ht="15.75" customHeight="1">
      <c r="B35" s="219" t="s">
        <v>924</v>
      </c>
      <c r="C35" s="220">
        <v>0.195</v>
      </c>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row>
    <row r="36" ht="15.75" customHeight="1">
      <c r="B36" s="219" t="s">
        <v>925</v>
      </c>
      <c r="C36" s="220">
        <v>0.147</v>
      </c>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row>
    <row r="37" ht="15.75" customHeight="1">
      <c r="B37" s="219" t="s">
        <v>926</v>
      </c>
      <c r="C37" s="220">
        <v>0.081</v>
      </c>
      <c r="D37" s="112"/>
      <c r="E37" s="112"/>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row>
    <row r="38" ht="15.75" customHeight="1">
      <c r="B38" s="219" t="s">
        <v>927</v>
      </c>
      <c r="C38" s="220">
        <v>0.032</v>
      </c>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row>
    <row r="39" ht="15.75" customHeight="1">
      <c r="B39" s="219" t="s">
        <v>928</v>
      </c>
      <c r="C39" s="220">
        <v>0.05</v>
      </c>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row>
    <row r="40" ht="15.75" customHeight="1">
      <c r="B40" s="219" t="s">
        <v>929</v>
      </c>
      <c r="C40" s="220">
        <v>0.048</v>
      </c>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row>
    <row r="41" ht="15.75" customHeight="1">
      <c r="B41" s="219" t="s">
        <v>930</v>
      </c>
      <c r="C41" s="220">
        <v>0.048</v>
      </c>
      <c r="D41" s="112"/>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row>
    <row r="42" ht="15.75" customHeight="1">
      <c r="B42" s="219" t="s">
        <v>931</v>
      </c>
      <c r="C42" s="220">
        <v>0.02</v>
      </c>
      <c r="D42" s="112"/>
      <c r="E42" s="112"/>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row>
    <row r="43" ht="15.75" customHeight="1">
      <c r="B43" s="219" t="s">
        <v>932</v>
      </c>
      <c r="C43" s="220">
        <v>0.006</v>
      </c>
      <c r="D43" s="112"/>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row>
    <row r="44" ht="15.75" customHeight="1">
      <c r="B44" s="217" t="s">
        <v>933</v>
      </c>
      <c r="C44" s="218">
        <v>0.059</v>
      </c>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row>
    <row r="45" ht="15.75" customHeight="1">
      <c r="B45" s="221" t="s">
        <v>863</v>
      </c>
      <c r="C45" s="220">
        <v>1.0</v>
      </c>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c r="AJ45" s="112"/>
      <c r="AK45" s="112"/>
      <c r="AL45" s="112"/>
      <c r="AM45" s="112"/>
      <c r="AN45" s="112"/>
      <c r="AO45" s="112"/>
      <c r="AP45" s="112"/>
      <c r="AQ45" s="112"/>
      <c r="AR45" s="112"/>
      <c r="AS45" s="112"/>
      <c r="AT45" s="112"/>
    </row>
    <row r="46" ht="15.75" customHeight="1">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c r="AJ46" s="112"/>
      <c r="AK46" s="112"/>
      <c r="AL46" s="112"/>
      <c r="AM46" s="112"/>
      <c r="AN46" s="112"/>
      <c r="AO46" s="112"/>
      <c r="AP46" s="112"/>
      <c r="AQ46" s="112"/>
      <c r="AR46" s="112"/>
      <c r="AS46" s="112"/>
      <c r="AT46" s="112"/>
    </row>
    <row r="47" ht="15.75" customHeight="1">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112"/>
      <c r="AR47" s="112"/>
      <c r="AS47" s="112"/>
      <c r="AT47" s="112"/>
    </row>
    <row r="48" ht="15.75" customHeight="1">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row>
    <row r="49" ht="15.75" customHeight="1">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row>
    <row r="50" ht="15.75" customHeight="1">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row>
    <row r="51" ht="15.75" customHeight="1">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row>
    <row r="52" ht="15.75" customHeight="1">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row>
    <row r="53" ht="15.75" customHeight="1">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row>
    <row r="54" ht="15.75" customHeight="1">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row>
    <row r="55" ht="15.75" customHeight="1">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row>
    <row r="56" ht="15.75" customHeight="1">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row>
    <row r="57" ht="15.75" customHeight="1">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row>
    <row r="58" ht="15.75" customHeight="1">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row>
    <row r="59" ht="15.75" customHeight="1">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row>
    <row r="60" ht="15.75" customHeight="1">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row>
    <row r="61" ht="15.75" customHeight="1">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row>
    <row r="62" ht="15.75" customHeight="1">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row>
    <row r="63" ht="15.75" customHeight="1">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row>
    <row r="64" ht="15.75" customHeight="1">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row>
    <row r="65" ht="15.75" customHeight="1">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row>
    <row r="66" ht="15.75" customHeight="1">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row>
    <row r="67" ht="15.75" customHeight="1">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row>
    <row r="68" ht="15.75" customHeight="1">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row>
    <row r="69" ht="15.75" customHeight="1">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row>
    <row r="70" ht="15.75" customHeight="1">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c r="AG70" s="112"/>
      <c r="AH70" s="112"/>
      <c r="AI70" s="112"/>
      <c r="AJ70" s="112"/>
      <c r="AK70" s="112"/>
      <c r="AL70" s="112"/>
      <c r="AM70" s="112"/>
      <c r="AN70" s="112"/>
      <c r="AO70" s="112"/>
      <c r="AP70" s="112"/>
      <c r="AQ70" s="112"/>
      <c r="AR70" s="112"/>
      <c r="AS70" s="112"/>
      <c r="AT70" s="112"/>
    </row>
    <row r="71" ht="15.75" customHeight="1">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row>
    <row r="72" ht="15.75" customHeight="1">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row>
    <row r="73" ht="15.75" customHeight="1">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row>
    <row r="74" ht="15.75" customHeight="1">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row>
    <row r="75" ht="15.75" customHeight="1">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row>
    <row r="76" ht="15.75" customHeight="1">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row>
    <row r="77" ht="15.75" customHeight="1">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2"/>
      <c r="AI77" s="112"/>
      <c r="AJ77" s="112"/>
      <c r="AK77" s="112"/>
      <c r="AL77" s="112"/>
      <c r="AM77" s="112"/>
      <c r="AN77" s="112"/>
      <c r="AO77" s="112"/>
      <c r="AP77" s="112"/>
      <c r="AQ77" s="112"/>
      <c r="AR77" s="112"/>
      <c r="AS77" s="112"/>
      <c r="AT77" s="112"/>
    </row>
    <row r="78" ht="15.75" customHeight="1">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2"/>
      <c r="AI78" s="112"/>
      <c r="AJ78" s="112"/>
      <c r="AK78" s="112"/>
      <c r="AL78" s="112"/>
      <c r="AM78" s="112"/>
      <c r="AN78" s="112"/>
      <c r="AO78" s="112"/>
      <c r="AP78" s="112"/>
      <c r="AQ78" s="112"/>
      <c r="AR78" s="112"/>
      <c r="AS78" s="112"/>
      <c r="AT78" s="112"/>
    </row>
    <row r="79" ht="15.75" customHeight="1">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2"/>
      <c r="AI79" s="112"/>
      <c r="AJ79" s="112"/>
      <c r="AK79" s="112"/>
      <c r="AL79" s="112"/>
      <c r="AM79" s="112"/>
      <c r="AN79" s="112"/>
      <c r="AO79" s="112"/>
      <c r="AP79" s="112"/>
      <c r="AQ79" s="112"/>
      <c r="AR79" s="112"/>
      <c r="AS79" s="112"/>
      <c r="AT79" s="112"/>
    </row>
    <row r="80" ht="15.75" customHeight="1">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2"/>
      <c r="AI80" s="112"/>
      <c r="AJ80" s="112"/>
      <c r="AK80" s="112"/>
      <c r="AL80" s="112"/>
      <c r="AM80" s="112"/>
      <c r="AN80" s="112"/>
      <c r="AO80" s="112"/>
      <c r="AP80" s="112"/>
      <c r="AQ80" s="112"/>
      <c r="AR80" s="112"/>
      <c r="AS80" s="112"/>
      <c r="AT80" s="112"/>
    </row>
    <row r="81" ht="15.75" customHeight="1">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2"/>
      <c r="AI81" s="112"/>
      <c r="AJ81" s="112"/>
      <c r="AK81" s="112"/>
      <c r="AL81" s="112"/>
      <c r="AM81" s="112"/>
      <c r="AN81" s="112"/>
      <c r="AO81" s="112"/>
      <c r="AP81" s="112"/>
      <c r="AQ81" s="112"/>
      <c r="AR81" s="112"/>
      <c r="AS81" s="112"/>
      <c r="AT81" s="112"/>
    </row>
    <row r="82" ht="15.75" customHeight="1">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2"/>
      <c r="AI82" s="112"/>
      <c r="AJ82" s="112"/>
      <c r="AK82" s="112"/>
      <c r="AL82" s="112"/>
      <c r="AM82" s="112"/>
      <c r="AN82" s="112"/>
      <c r="AO82" s="112"/>
      <c r="AP82" s="112"/>
      <c r="AQ82" s="112"/>
      <c r="AR82" s="112"/>
      <c r="AS82" s="112"/>
      <c r="AT82" s="112"/>
    </row>
    <row r="83" ht="15.75" customHeight="1">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row>
    <row r="84" ht="15.75" customHeight="1">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c r="AG84" s="112"/>
      <c r="AH84" s="112"/>
      <c r="AI84" s="112"/>
      <c r="AJ84" s="112"/>
      <c r="AK84" s="112"/>
      <c r="AL84" s="112"/>
      <c r="AM84" s="112"/>
      <c r="AN84" s="112"/>
      <c r="AO84" s="112"/>
      <c r="AP84" s="112"/>
      <c r="AQ84" s="112"/>
      <c r="AR84" s="112"/>
      <c r="AS84" s="112"/>
      <c r="AT84" s="112"/>
    </row>
    <row r="85" ht="15.75" customHeight="1">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row>
    <row r="86" ht="15.75" customHeight="1">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row>
    <row r="87" ht="15.75" customHeight="1">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c r="AG87" s="112"/>
      <c r="AH87" s="112"/>
      <c r="AI87" s="112"/>
      <c r="AJ87" s="112"/>
      <c r="AK87" s="112"/>
      <c r="AL87" s="112"/>
      <c r="AM87" s="112"/>
      <c r="AN87" s="112"/>
      <c r="AO87" s="112"/>
      <c r="AP87" s="112"/>
      <c r="AQ87" s="112"/>
      <c r="AR87" s="112"/>
      <c r="AS87" s="112"/>
      <c r="AT87" s="112"/>
    </row>
    <row r="88" ht="15.75" customHeight="1">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c r="AG88" s="112"/>
      <c r="AH88" s="112"/>
      <c r="AI88" s="112"/>
      <c r="AJ88" s="112"/>
      <c r="AK88" s="112"/>
      <c r="AL88" s="112"/>
      <c r="AM88" s="112"/>
      <c r="AN88" s="112"/>
      <c r="AO88" s="112"/>
      <c r="AP88" s="112"/>
      <c r="AQ88" s="112"/>
      <c r="AR88" s="112"/>
      <c r="AS88" s="112"/>
      <c r="AT88" s="112"/>
    </row>
    <row r="89" ht="15.75" customHeight="1">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c r="AG89" s="112"/>
      <c r="AH89" s="112"/>
      <c r="AI89" s="112"/>
      <c r="AJ89" s="112"/>
      <c r="AK89" s="112"/>
      <c r="AL89" s="112"/>
      <c r="AM89" s="112"/>
      <c r="AN89" s="112"/>
      <c r="AO89" s="112"/>
      <c r="AP89" s="112"/>
      <c r="AQ89" s="112"/>
      <c r="AR89" s="112"/>
      <c r="AS89" s="112"/>
      <c r="AT89" s="112"/>
    </row>
    <row r="90" ht="15.75" customHeight="1">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c r="AG90" s="112"/>
      <c r="AH90" s="112"/>
      <c r="AI90" s="112"/>
      <c r="AJ90" s="112"/>
      <c r="AK90" s="112"/>
      <c r="AL90" s="112"/>
      <c r="AM90" s="112"/>
      <c r="AN90" s="112"/>
      <c r="AO90" s="112"/>
      <c r="AP90" s="112"/>
      <c r="AQ90" s="112"/>
      <c r="AR90" s="112"/>
      <c r="AS90" s="112"/>
      <c r="AT90" s="112"/>
    </row>
    <row r="91" ht="15.75" customHeight="1">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c r="AG91" s="112"/>
      <c r="AH91" s="112"/>
      <c r="AI91" s="112"/>
      <c r="AJ91" s="112"/>
      <c r="AK91" s="112"/>
      <c r="AL91" s="112"/>
      <c r="AM91" s="112"/>
      <c r="AN91" s="112"/>
      <c r="AO91" s="112"/>
      <c r="AP91" s="112"/>
      <c r="AQ91" s="112"/>
      <c r="AR91" s="112"/>
      <c r="AS91" s="112"/>
      <c r="AT91" s="112"/>
    </row>
    <row r="92" ht="15.75" customHeight="1">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c r="AG92" s="112"/>
      <c r="AH92" s="112"/>
      <c r="AI92" s="112"/>
      <c r="AJ92" s="112"/>
      <c r="AK92" s="112"/>
      <c r="AL92" s="112"/>
      <c r="AM92" s="112"/>
      <c r="AN92" s="112"/>
      <c r="AO92" s="112"/>
      <c r="AP92" s="112"/>
      <c r="AQ92" s="112"/>
      <c r="AR92" s="112"/>
      <c r="AS92" s="112"/>
      <c r="AT92" s="112"/>
    </row>
    <row r="93" ht="15.75" customHeight="1">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c r="AG93" s="112"/>
      <c r="AH93" s="112"/>
      <c r="AI93" s="112"/>
      <c r="AJ93" s="112"/>
      <c r="AK93" s="112"/>
      <c r="AL93" s="112"/>
      <c r="AM93" s="112"/>
      <c r="AN93" s="112"/>
      <c r="AO93" s="112"/>
      <c r="AP93" s="112"/>
      <c r="AQ93" s="112"/>
      <c r="AR93" s="112"/>
      <c r="AS93" s="112"/>
      <c r="AT93" s="112"/>
    </row>
    <row r="94" ht="15.75" customHeight="1">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row>
    <row r="95" ht="15.75" customHeight="1">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row>
    <row r="96" ht="15.75" customHeight="1">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c r="AG96" s="112"/>
      <c r="AH96" s="112"/>
      <c r="AI96" s="112"/>
      <c r="AJ96" s="112"/>
      <c r="AK96" s="112"/>
      <c r="AL96" s="112"/>
      <c r="AM96" s="112"/>
      <c r="AN96" s="112"/>
      <c r="AO96" s="112"/>
      <c r="AP96" s="112"/>
      <c r="AQ96" s="112"/>
      <c r="AR96" s="112"/>
      <c r="AS96" s="112"/>
      <c r="AT96" s="112"/>
    </row>
    <row r="97" ht="15.75" customHeight="1">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c r="AG97" s="112"/>
      <c r="AH97" s="112"/>
      <c r="AI97" s="112"/>
      <c r="AJ97" s="112"/>
      <c r="AK97" s="112"/>
      <c r="AL97" s="112"/>
      <c r="AM97" s="112"/>
      <c r="AN97" s="112"/>
      <c r="AO97" s="112"/>
      <c r="AP97" s="112"/>
      <c r="AQ97" s="112"/>
      <c r="AR97" s="112"/>
      <c r="AS97" s="112"/>
      <c r="AT97" s="112"/>
    </row>
    <row r="98" ht="15.75" customHeight="1">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c r="AG98" s="112"/>
      <c r="AH98" s="112"/>
      <c r="AI98" s="112"/>
      <c r="AJ98" s="112"/>
      <c r="AK98" s="112"/>
      <c r="AL98" s="112"/>
      <c r="AM98" s="112"/>
      <c r="AN98" s="112"/>
      <c r="AO98" s="112"/>
      <c r="AP98" s="112"/>
      <c r="AQ98" s="112"/>
      <c r="AR98" s="112"/>
      <c r="AS98" s="112"/>
      <c r="AT98" s="112"/>
    </row>
    <row r="99" ht="15.75" customHeight="1">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c r="AB99" s="112"/>
      <c r="AC99" s="112"/>
      <c r="AD99" s="112"/>
      <c r="AE99" s="112"/>
      <c r="AF99" s="112"/>
      <c r="AG99" s="112"/>
      <c r="AH99" s="112"/>
      <c r="AI99" s="112"/>
      <c r="AJ99" s="112"/>
      <c r="AK99" s="112"/>
      <c r="AL99" s="112"/>
      <c r="AM99" s="112"/>
      <c r="AN99" s="112"/>
      <c r="AO99" s="112"/>
      <c r="AP99" s="112"/>
      <c r="AQ99" s="112"/>
      <c r="AR99" s="112"/>
      <c r="AS99" s="112"/>
      <c r="AT99" s="112"/>
    </row>
    <row r="100" ht="15.75" customHeight="1">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c r="AH100" s="112"/>
      <c r="AI100" s="112"/>
      <c r="AJ100" s="112"/>
      <c r="AK100" s="112"/>
      <c r="AL100" s="112"/>
      <c r="AM100" s="112"/>
      <c r="AN100" s="112"/>
      <c r="AO100" s="112"/>
      <c r="AP100" s="112"/>
      <c r="AQ100" s="112"/>
      <c r="AR100" s="112"/>
      <c r="AS100" s="112"/>
      <c r="AT100" s="112"/>
    </row>
    <row r="101" ht="15.75" customHeight="1">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row>
    <row r="102" ht="15.75" customHeight="1">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row>
    <row r="103" ht="15.75" customHeight="1">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row>
    <row r="104" ht="15.75" customHeight="1">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row>
    <row r="105" ht="15.75" customHeight="1">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row>
    <row r="106" ht="15.75" customHeight="1">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c r="AH106" s="112"/>
      <c r="AI106" s="112"/>
      <c r="AJ106" s="112"/>
      <c r="AK106" s="112"/>
      <c r="AL106" s="112"/>
      <c r="AM106" s="112"/>
      <c r="AN106" s="112"/>
      <c r="AO106" s="112"/>
      <c r="AP106" s="112"/>
      <c r="AQ106" s="112"/>
      <c r="AR106" s="112"/>
      <c r="AS106" s="112"/>
      <c r="AT106" s="112"/>
    </row>
    <row r="107" ht="15.75" customHeight="1">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c r="AH107" s="112"/>
      <c r="AI107" s="112"/>
      <c r="AJ107" s="112"/>
      <c r="AK107" s="112"/>
      <c r="AL107" s="112"/>
      <c r="AM107" s="112"/>
      <c r="AN107" s="112"/>
      <c r="AO107" s="112"/>
      <c r="AP107" s="112"/>
      <c r="AQ107" s="112"/>
      <c r="AR107" s="112"/>
      <c r="AS107" s="112"/>
      <c r="AT107" s="112"/>
    </row>
    <row r="108" ht="15.75" customHeight="1">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row>
    <row r="109" ht="15.75" customHeight="1">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c r="AH109" s="112"/>
      <c r="AI109" s="112"/>
      <c r="AJ109" s="112"/>
      <c r="AK109" s="112"/>
      <c r="AL109" s="112"/>
      <c r="AM109" s="112"/>
      <c r="AN109" s="112"/>
      <c r="AO109" s="112"/>
      <c r="AP109" s="112"/>
      <c r="AQ109" s="112"/>
      <c r="AR109" s="112"/>
      <c r="AS109" s="112"/>
      <c r="AT109" s="112"/>
    </row>
    <row r="110" ht="15.75" customHeight="1">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row>
    <row r="111" ht="15.75" customHeight="1">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row>
    <row r="112" ht="15.75" customHeight="1">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row>
    <row r="113" ht="15.75" customHeight="1">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c r="AH113" s="112"/>
      <c r="AI113" s="112"/>
      <c r="AJ113" s="112"/>
      <c r="AK113" s="112"/>
      <c r="AL113" s="112"/>
      <c r="AM113" s="112"/>
      <c r="AN113" s="112"/>
      <c r="AO113" s="112"/>
      <c r="AP113" s="112"/>
      <c r="AQ113" s="112"/>
      <c r="AR113" s="112"/>
      <c r="AS113" s="112"/>
      <c r="AT113" s="112"/>
    </row>
    <row r="114" ht="15.75" customHeight="1">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c r="AH114" s="112"/>
      <c r="AI114" s="112"/>
      <c r="AJ114" s="112"/>
      <c r="AK114" s="112"/>
      <c r="AL114" s="112"/>
      <c r="AM114" s="112"/>
      <c r="AN114" s="112"/>
      <c r="AO114" s="112"/>
      <c r="AP114" s="112"/>
      <c r="AQ114" s="112"/>
      <c r="AR114" s="112"/>
      <c r="AS114" s="112"/>
      <c r="AT114" s="112"/>
    </row>
    <row r="115" ht="15.75" customHeight="1">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2"/>
    </row>
    <row r="116" ht="15.75" customHeight="1">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c r="AH116" s="112"/>
      <c r="AI116" s="112"/>
      <c r="AJ116" s="112"/>
      <c r="AK116" s="112"/>
      <c r="AL116" s="112"/>
      <c r="AM116" s="112"/>
      <c r="AN116" s="112"/>
      <c r="AO116" s="112"/>
      <c r="AP116" s="112"/>
      <c r="AQ116" s="112"/>
      <c r="AR116" s="112"/>
      <c r="AS116" s="112"/>
      <c r="AT116" s="112"/>
    </row>
    <row r="117" ht="15.75" customHeight="1">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c r="AH117" s="112"/>
      <c r="AI117" s="112"/>
      <c r="AJ117" s="112"/>
      <c r="AK117" s="112"/>
      <c r="AL117" s="112"/>
      <c r="AM117" s="112"/>
      <c r="AN117" s="112"/>
      <c r="AO117" s="112"/>
      <c r="AP117" s="112"/>
      <c r="AQ117" s="112"/>
      <c r="AR117" s="112"/>
      <c r="AS117" s="112"/>
      <c r="AT117" s="112"/>
    </row>
    <row r="118" ht="15.75" customHeight="1">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c r="AH118" s="112"/>
      <c r="AI118" s="112"/>
      <c r="AJ118" s="112"/>
      <c r="AK118" s="112"/>
      <c r="AL118" s="112"/>
      <c r="AM118" s="112"/>
      <c r="AN118" s="112"/>
      <c r="AO118" s="112"/>
      <c r="AP118" s="112"/>
      <c r="AQ118" s="112"/>
      <c r="AR118" s="112"/>
      <c r="AS118" s="112"/>
      <c r="AT118" s="112"/>
    </row>
    <row r="119" ht="15.75" customHeight="1">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row>
    <row r="120" ht="15.75" customHeight="1">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c r="AH120" s="112"/>
      <c r="AI120" s="112"/>
      <c r="AJ120" s="112"/>
      <c r="AK120" s="112"/>
      <c r="AL120" s="112"/>
      <c r="AM120" s="112"/>
      <c r="AN120" s="112"/>
      <c r="AO120" s="112"/>
      <c r="AP120" s="112"/>
      <c r="AQ120" s="112"/>
      <c r="AR120" s="112"/>
      <c r="AS120" s="112"/>
      <c r="AT120" s="112"/>
    </row>
    <row r="121" ht="15.75" customHeight="1">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c r="AH121" s="112"/>
      <c r="AI121" s="112"/>
      <c r="AJ121" s="112"/>
      <c r="AK121" s="112"/>
      <c r="AL121" s="112"/>
      <c r="AM121" s="112"/>
      <c r="AN121" s="112"/>
      <c r="AO121" s="112"/>
      <c r="AP121" s="112"/>
      <c r="AQ121" s="112"/>
      <c r="AR121" s="112"/>
      <c r="AS121" s="112"/>
      <c r="AT121" s="112"/>
    </row>
    <row r="122" ht="15.75" customHeight="1">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row>
    <row r="123" ht="15.75" customHeight="1">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c r="AH123" s="112"/>
      <c r="AI123" s="112"/>
      <c r="AJ123" s="112"/>
      <c r="AK123" s="112"/>
      <c r="AL123" s="112"/>
      <c r="AM123" s="112"/>
      <c r="AN123" s="112"/>
      <c r="AO123" s="112"/>
      <c r="AP123" s="112"/>
      <c r="AQ123" s="112"/>
      <c r="AR123" s="112"/>
      <c r="AS123" s="112"/>
      <c r="AT123" s="112"/>
    </row>
    <row r="124" ht="15.75" customHeight="1">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c r="AH124" s="112"/>
      <c r="AI124" s="112"/>
      <c r="AJ124" s="112"/>
      <c r="AK124" s="112"/>
      <c r="AL124" s="112"/>
      <c r="AM124" s="112"/>
      <c r="AN124" s="112"/>
      <c r="AO124" s="112"/>
      <c r="AP124" s="112"/>
      <c r="AQ124" s="112"/>
      <c r="AR124" s="112"/>
      <c r="AS124" s="112"/>
      <c r="AT124" s="112"/>
    </row>
    <row r="125" ht="15.75" customHeight="1">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c r="AH125" s="112"/>
      <c r="AI125" s="112"/>
      <c r="AJ125" s="112"/>
      <c r="AK125" s="112"/>
      <c r="AL125" s="112"/>
      <c r="AM125" s="112"/>
      <c r="AN125" s="112"/>
      <c r="AO125" s="112"/>
      <c r="AP125" s="112"/>
      <c r="AQ125" s="112"/>
      <c r="AR125" s="112"/>
      <c r="AS125" s="112"/>
      <c r="AT125" s="112"/>
    </row>
    <row r="126" ht="15.75" customHeight="1">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c r="AH126" s="112"/>
      <c r="AI126" s="112"/>
      <c r="AJ126" s="112"/>
      <c r="AK126" s="112"/>
      <c r="AL126" s="112"/>
      <c r="AM126" s="112"/>
      <c r="AN126" s="112"/>
      <c r="AO126" s="112"/>
      <c r="AP126" s="112"/>
      <c r="AQ126" s="112"/>
      <c r="AR126" s="112"/>
      <c r="AS126" s="112"/>
      <c r="AT126" s="112"/>
    </row>
    <row r="127" ht="15.75" customHeight="1">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row>
    <row r="128" ht="15.75" customHeight="1">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c r="AH128" s="112"/>
      <c r="AI128" s="112"/>
      <c r="AJ128" s="112"/>
      <c r="AK128" s="112"/>
      <c r="AL128" s="112"/>
      <c r="AM128" s="112"/>
      <c r="AN128" s="112"/>
      <c r="AO128" s="112"/>
      <c r="AP128" s="112"/>
      <c r="AQ128" s="112"/>
      <c r="AR128" s="112"/>
      <c r="AS128" s="112"/>
      <c r="AT128" s="112"/>
    </row>
    <row r="129" ht="15.75" customHeight="1">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row>
    <row r="130" ht="15.75" customHeight="1">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row>
    <row r="131" ht="15.75" customHeight="1">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c r="AH131" s="112"/>
      <c r="AI131" s="112"/>
      <c r="AJ131" s="112"/>
      <c r="AK131" s="112"/>
      <c r="AL131" s="112"/>
      <c r="AM131" s="112"/>
      <c r="AN131" s="112"/>
      <c r="AO131" s="112"/>
      <c r="AP131" s="112"/>
      <c r="AQ131" s="112"/>
      <c r="AR131" s="112"/>
      <c r="AS131" s="112"/>
      <c r="AT131" s="112"/>
    </row>
    <row r="132" ht="15.75" customHeight="1">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c r="AH132" s="112"/>
      <c r="AI132" s="112"/>
      <c r="AJ132" s="112"/>
      <c r="AK132" s="112"/>
      <c r="AL132" s="112"/>
      <c r="AM132" s="112"/>
      <c r="AN132" s="112"/>
      <c r="AO132" s="112"/>
      <c r="AP132" s="112"/>
      <c r="AQ132" s="112"/>
      <c r="AR132" s="112"/>
      <c r="AS132" s="112"/>
      <c r="AT132" s="112"/>
    </row>
    <row r="133" ht="15.75" customHeight="1">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c r="AH133" s="112"/>
      <c r="AI133" s="112"/>
      <c r="AJ133" s="112"/>
      <c r="AK133" s="112"/>
      <c r="AL133" s="112"/>
      <c r="AM133" s="112"/>
      <c r="AN133" s="112"/>
      <c r="AO133" s="112"/>
      <c r="AP133" s="112"/>
      <c r="AQ133" s="112"/>
      <c r="AR133" s="112"/>
      <c r="AS133" s="112"/>
      <c r="AT133" s="112"/>
    </row>
    <row r="134" ht="15.75" customHeight="1">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c r="AH134" s="112"/>
      <c r="AI134" s="112"/>
      <c r="AJ134" s="112"/>
      <c r="AK134" s="112"/>
      <c r="AL134" s="112"/>
      <c r="AM134" s="112"/>
      <c r="AN134" s="112"/>
      <c r="AO134" s="112"/>
      <c r="AP134" s="112"/>
      <c r="AQ134" s="112"/>
      <c r="AR134" s="112"/>
      <c r="AS134" s="112"/>
      <c r="AT134" s="112"/>
    </row>
    <row r="135" ht="15.75" customHeight="1">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row>
    <row r="136" ht="15.75" customHeight="1">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c r="AH136" s="112"/>
      <c r="AI136" s="112"/>
      <c r="AJ136" s="112"/>
      <c r="AK136" s="112"/>
      <c r="AL136" s="112"/>
      <c r="AM136" s="112"/>
      <c r="AN136" s="112"/>
      <c r="AO136" s="112"/>
      <c r="AP136" s="112"/>
      <c r="AQ136" s="112"/>
      <c r="AR136" s="112"/>
      <c r="AS136" s="112"/>
      <c r="AT136" s="112"/>
    </row>
    <row r="137" ht="15.75" customHeight="1">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c r="AH137" s="112"/>
      <c r="AI137" s="112"/>
      <c r="AJ137" s="112"/>
      <c r="AK137" s="112"/>
      <c r="AL137" s="112"/>
      <c r="AM137" s="112"/>
      <c r="AN137" s="112"/>
      <c r="AO137" s="112"/>
      <c r="AP137" s="112"/>
      <c r="AQ137" s="112"/>
      <c r="AR137" s="112"/>
      <c r="AS137" s="112"/>
      <c r="AT137" s="112"/>
    </row>
    <row r="138" ht="15.75" customHeight="1">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c r="AH138" s="112"/>
      <c r="AI138" s="112"/>
      <c r="AJ138" s="112"/>
      <c r="AK138" s="112"/>
      <c r="AL138" s="112"/>
      <c r="AM138" s="112"/>
      <c r="AN138" s="112"/>
      <c r="AO138" s="112"/>
      <c r="AP138" s="112"/>
      <c r="AQ138" s="112"/>
      <c r="AR138" s="112"/>
      <c r="AS138" s="112"/>
      <c r="AT138" s="112"/>
    </row>
    <row r="139" ht="15.75" customHeight="1">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c r="AH139" s="112"/>
      <c r="AI139" s="112"/>
      <c r="AJ139" s="112"/>
      <c r="AK139" s="112"/>
      <c r="AL139" s="112"/>
      <c r="AM139" s="112"/>
      <c r="AN139" s="112"/>
      <c r="AO139" s="112"/>
      <c r="AP139" s="112"/>
      <c r="AQ139" s="112"/>
      <c r="AR139" s="112"/>
      <c r="AS139" s="112"/>
      <c r="AT139" s="112"/>
    </row>
    <row r="140" ht="15.75" customHeight="1">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c r="AH140" s="112"/>
      <c r="AI140" s="112"/>
      <c r="AJ140" s="112"/>
      <c r="AK140" s="112"/>
      <c r="AL140" s="112"/>
      <c r="AM140" s="112"/>
      <c r="AN140" s="112"/>
      <c r="AO140" s="112"/>
      <c r="AP140" s="112"/>
      <c r="AQ140" s="112"/>
      <c r="AR140" s="112"/>
      <c r="AS140" s="112"/>
      <c r="AT140" s="112"/>
    </row>
    <row r="141" ht="15.75" customHeight="1">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c r="AH141" s="112"/>
      <c r="AI141" s="112"/>
      <c r="AJ141" s="112"/>
      <c r="AK141" s="112"/>
      <c r="AL141" s="112"/>
      <c r="AM141" s="112"/>
      <c r="AN141" s="112"/>
      <c r="AO141" s="112"/>
      <c r="AP141" s="112"/>
      <c r="AQ141" s="112"/>
      <c r="AR141" s="112"/>
      <c r="AS141" s="112"/>
      <c r="AT141" s="112"/>
    </row>
    <row r="142" ht="15.75" customHeight="1">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c r="AH142" s="112"/>
      <c r="AI142" s="112"/>
      <c r="AJ142" s="112"/>
      <c r="AK142" s="112"/>
      <c r="AL142" s="112"/>
      <c r="AM142" s="112"/>
      <c r="AN142" s="112"/>
      <c r="AO142" s="112"/>
      <c r="AP142" s="112"/>
      <c r="AQ142" s="112"/>
      <c r="AR142" s="112"/>
      <c r="AS142" s="112"/>
      <c r="AT142" s="112"/>
    </row>
    <row r="143" ht="15.75" customHeight="1">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c r="AH143" s="112"/>
      <c r="AI143" s="112"/>
      <c r="AJ143" s="112"/>
      <c r="AK143" s="112"/>
      <c r="AL143" s="112"/>
      <c r="AM143" s="112"/>
      <c r="AN143" s="112"/>
      <c r="AO143" s="112"/>
      <c r="AP143" s="112"/>
      <c r="AQ143" s="112"/>
      <c r="AR143" s="112"/>
      <c r="AS143" s="112"/>
      <c r="AT143" s="112"/>
    </row>
    <row r="144" ht="15.75" customHeight="1">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c r="AH144" s="112"/>
      <c r="AI144" s="112"/>
      <c r="AJ144" s="112"/>
      <c r="AK144" s="112"/>
      <c r="AL144" s="112"/>
      <c r="AM144" s="112"/>
      <c r="AN144" s="112"/>
      <c r="AO144" s="112"/>
      <c r="AP144" s="112"/>
      <c r="AQ144" s="112"/>
      <c r="AR144" s="112"/>
      <c r="AS144" s="112"/>
      <c r="AT144" s="112"/>
    </row>
    <row r="145" ht="15.75" customHeight="1">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c r="AH145" s="112"/>
      <c r="AI145" s="112"/>
      <c r="AJ145" s="112"/>
      <c r="AK145" s="112"/>
      <c r="AL145" s="112"/>
      <c r="AM145" s="112"/>
      <c r="AN145" s="112"/>
      <c r="AO145" s="112"/>
      <c r="AP145" s="112"/>
      <c r="AQ145" s="112"/>
      <c r="AR145" s="112"/>
      <c r="AS145" s="112"/>
      <c r="AT145" s="112"/>
    </row>
    <row r="146" ht="15.75" customHeight="1">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c r="AH146" s="112"/>
      <c r="AI146" s="112"/>
      <c r="AJ146" s="112"/>
      <c r="AK146" s="112"/>
      <c r="AL146" s="112"/>
      <c r="AM146" s="112"/>
      <c r="AN146" s="112"/>
      <c r="AO146" s="112"/>
      <c r="AP146" s="112"/>
      <c r="AQ146" s="112"/>
      <c r="AR146" s="112"/>
      <c r="AS146" s="112"/>
      <c r="AT146" s="112"/>
    </row>
    <row r="147" ht="15.75" customHeight="1">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c r="AH147" s="112"/>
      <c r="AI147" s="112"/>
      <c r="AJ147" s="112"/>
      <c r="AK147" s="112"/>
      <c r="AL147" s="112"/>
      <c r="AM147" s="112"/>
      <c r="AN147" s="112"/>
      <c r="AO147" s="112"/>
      <c r="AP147" s="112"/>
      <c r="AQ147" s="112"/>
      <c r="AR147" s="112"/>
      <c r="AS147" s="112"/>
      <c r="AT147" s="112"/>
    </row>
    <row r="148" ht="15.75" customHeight="1">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c r="AH148" s="112"/>
      <c r="AI148" s="112"/>
      <c r="AJ148" s="112"/>
      <c r="AK148" s="112"/>
      <c r="AL148" s="112"/>
      <c r="AM148" s="112"/>
      <c r="AN148" s="112"/>
      <c r="AO148" s="112"/>
      <c r="AP148" s="112"/>
      <c r="AQ148" s="112"/>
      <c r="AR148" s="112"/>
      <c r="AS148" s="112"/>
      <c r="AT148" s="112"/>
    </row>
    <row r="149" ht="15.75" customHeight="1">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c r="AH149" s="112"/>
      <c r="AI149" s="112"/>
      <c r="AJ149" s="112"/>
      <c r="AK149" s="112"/>
      <c r="AL149" s="112"/>
      <c r="AM149" s="112"/>
      <c r="AN149" s="112"/>
      <c r="AO149" s="112"/>
      <c r="AP149" s="112"/>
      <c r="AQ149" s="112"/>
      <c r="AR149" s="112"/>
      <c r="AS149" s="112"/>
      <c r="AT149" s="112"/>
    </row>
    <row r="150" ht="15.75" customHeight="1">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c r="AH150" s="112"/>
      <c r="AI150" s="112"/>
      <c r="AJ150" s="112"/>
      <c r="AK150" s="112"/>
      <c r="AL150" s="112"/>
      <c r="AM150" s="112"/>
      <c r="AN150" s="112"/>
      <c r="AO150" s="112"/>
      <c r="AP150" s="112"/>
      <c r="AQ150" s="112"/>
      <c r="AR150" s="112"/>
      <c r="AS150" s="112"/>
      <c r="AT150" s="112"/>
    </row>
    <row r="151" ht="15.75" customHeight="1">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c r="AH151" s="112"/>
      <c r="AI151" s="112"/>
      <c r="AJ151" s="112"/>
      <c r="AK151" s="112"/>
      <c r="AL151" s="112"/>
      <c r="AM151" s="112"/>
      <c r="AN151" s="112"/>
      <c r="AO151" s="112"/>
      <c r="AP151" s="112"/>
      <c r="AQ151" s="112"/>
      <c r="AR151" s="112"/>
      <c r="AS151" s="112"/>
      <c r="AT151" s="112"/>
    </row>
    <row r="152" ht="15.75" customHeight="1">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c r="AH152" s="112"/>
      <c r="AI152" s="112"/>
      <c r="AJ152" s="112"/>
      <c r="AK152" s="112"/>
      <c r="AL152" s="112"/>
      <c r="AM152" s="112"/>
      <c r="AN152" s="112"/>
      <c r="AO152" s="112"/>
      <c r="AP152" s="112"/>
      <c r="AQ152" s="112"/>
      <c r="AR152" s="112"/>
      <c r="AS152" s="112"/>
      <c r="AT152" s="112"/>
    </row>
    <row r="153" ht="15.75" customHeight="1">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c r="AH153" s="112"/>
      <c r="AI153" s="112"/>
      <c r="AJ153" s="112"/>
      <c r="AK153" s="112"/>
      <c r="AL153" s="112"/>
      <c r="AM153" s="112"/>
      <c r="AN153" s="112"/>
      <c r="AO153" s="112"/>
      <c r="AP153" s="112"/>
      <c r="AQ153" s="112"/>
      <c r="AR153" s="112"/>
      <c r="AS153" s="112"/>
      <c r="AT153" s="112"/>
    </row>
    <row r="154" ht="15.75" customHeight="1">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c r="AH154" s="112"/>
      <c r="AI154" s="112"/>
      <c r="AJ154" s="112"/>
      <c r="AK154" s="112"/>
      <c r="AL154" s="112"/>
      <c r="AM154" s="112"/>
      <c r="AN154" s="112"/>
      <c r="AO154" s="112"/>
      <c r="AP154" s="112"/>
      <c r="AQ154" s="112"/>
      <c r="AR154" s="112"/>
      <c r="AS154" s="112"/>
      <c r="AT154" s="112"/>
    </row>
    <row r="155" ht="15.75" customHeight="1">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c r="AH155" s="112"/>
      <c r="AI155" s="112"/>
      <c r="AJ155" s="112"/>
      <c r="AK155" s="112"/>
      <c r="AL155" s="112"/>
      <c r="AM155" s="112"/>
      <c r="AN155" s="112"/>
      <c r="AO155" s="112"/>
      <c r="AP155" s="112"/>
      <c r="AQ155" s="112"/>
      <c r="AR155" s="112"/>
      <c r="AS155" s="112"/>
      <c r="AT155" s="112"/>
    </row>
    <row r="156" ht="15.75" customHeight="1">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c r="AH156" s="112"/>
      <c r="AI156" s="112"/>
      <c r="AJ156" s="112"/>
      <c r="AK156" s="112"/>
      <c r="AL156" s="112"/>
      <c r="AM156" s="112"/>
      <c r="AN156" s="112"/>
      <c r="AO156" s="112"/>
      <c r="AP156" s="112"/>
      <c r="AQ156" s="112"/>
      <c r="AR156" s="112"/>
      <c r="AS156" s="112"/>
      <c r="AT156" s="112"/>
    </row>
    <row r="157" ht="15.75" customHeight="1">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c r="AH157" s="112"/>
      <c r="AI157" s="112"/>
      <c r="AJ157" s="112"/>
      <c r="AK157" s="112"/>
      <c r="AL157" s="112"/>
      <c r="AM157" s="112"/>
      <c r="AN157" s="112"/>
      <c r="AO157" s="112"/>
      <c r="AP157" s="112"/>
      <c r="AQ157" s="112"/>
      <c r="AR157" s="112"/>
      <c r="AS157" s="112"/>
      <c r="AT157" s="112"/>
    </row>
    <row r="158" ht="15.75" customHeight="1">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c r="AH158" s="112"/>
      <c r="AI158" s="112"/>
      <c r="AJ158" s="112"/>
      <c r="AK158" s="112"/>
      <c r="AL158" s="112"/>
      <c r="AM158" s="112"/>
      <c r="AN158" s="112"/>
      <c r="AO158" s="112"/>
      <c r="AP158" s="112"/>
      <c r="AQ158" s="112"/>
      <c r="AR158" s="112"/>
      <c r="AS158" s="112"/>
      <c r="AT158" s="112"/>
    </row>
    <row r="159" ht="15.75" customHeight="1">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c r="AH159" s="112"/>
      <c r="AI159" s="112"/>
      <c r="AJ159" s="112"/>
      <c r="AK159" s="112"/>
      <c r="AL159" s="112"/>
      <c r="AM159" s="112"/>
      <c r="AN159" s="112"/>
      <c r="AO159" s="112"/>
      <c r="AP159" s="112"/>
      <c r="AQ159" s="112"/>
      <c r="AR159" s="112"/>
      <c r="AS159" s="112"/>
      <c r="AT159" s="112"/>
    </row>
    <row r="160" ht="15.75" customHeight="1">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c r="AH160" s="112"/>
      <c r="AI160" s="112"/>
      <c r="AJ160" s="112"/>
      <c r="AK160" s="112"/>
      <c r="AL160" s="112"/>
      <c r="AM160" s="112"/>
      <c r="AN160" s="112"/>
      <c r="AO160" s="112"/>
      <c r="AP160" s="112"/>
      <c r="AQ160" s="112"/>
      <c r="AR160" s="112"/>
      <c r="AS160" s="112"/>
      <c r="AT160" s="112"/>
    </row>
    <row r="161" ht="15.75" customHeight="1">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c r="AH161" s="112"/>
      <c r="AI161" s="112"/>
      <c r="AJ161" s="112"/>
      <c r="AK161" s="112"/>
      <c r="AL161" s="112"/>
      <c r="AM161" s="112"/>
      <c r="AN161" s="112"/>
      <c r="AO161" s="112"/>
      <c r="AP161" s="112"/>
      <c r="AQ161" s="112"/>
      <c r="AR161" s="112"/>
      <c r="AS161" s="112"/>
      <c r="AT161" s="112"/>
    </row>
    <row r="162" ht="15.75" customHeight="1">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row>
    <row r="163" ht="15.75" customHeight="1">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c r="AH163" s="112"/>
      <c r="AI163" s="112"/>
      <c r="AJ163" s="112"/>
      <c r="AK163" s="112"/>
      <c r="AL163" s="112"/>
      <c r="AM163" s="112"/>
      <c r="AN163" s="112"/>
      <c r="AO163" s="112"/>
      <c r="AP163" s="112"/>
      <c r="AQ163" s="112"/>
      <c r="AR163" s="112"/>
      <c r="AS163" s="112"/>
      <c r="AT163" s="112"/>
    </row>
    <row r="164" ht="15.75" customHeight="1">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c r="AH164" s="112"/>
      <c r="AI164" s="112"/>
      <c r="AJ164" s="112"/>
      <c r="AK164" s="112"/>
      <c r="AL164" s="112"/>
      <c r="AM164" s="112"/>
      <c r="AN164" s="112"/>
      <c r="AO164" s="112"/>
      <c r="AP164" s="112"/>
      <c r="AQ164" s="112"/>
      <c r="AR164" s="112"/>
      <c r="AS164" s="112"/>
      <c r="AT164" s="112"/>
    </row>
    <row r="165" ht="15.75" customHeight="1">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c r="AH165" s="112"/>
      <c r="AI165" s="112"/>
      <c r="AJ165" s="112"/>
      <c r="AK165" s="112"/>
      <c r="AL165" s="112"/>
      <c r="AM165" s="112"/>
      <c r="AN165" s="112"/>
      <c r="AO165" s="112"/>
      <c r="AP165" s="112"/>
      <c r="AQ165" s="112"/>
      <c r="AR165" s="112"/>
      <c r="AS165" s="112"/>
      <c r="AT165" s="112"/>
    </row>
    <row r="166" ht="15.75" customHeight="1">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c r="AH166" s="112"/>
      <c r="AI166" s="112"/>
      <c r="AJ166" s="112"/>
      <c r="AK166" s="112"/>
      <c r="AL166" s="112"/>
      <c r="AM166" s="112"/>
      <c r="AN166" s="112"/>
      <c r="AO166" s="112"/>
      <c r="AP166" s="112"/>
      <c r="AQ166" s="112"/>
      <c r="AR166" s="112"/>
      <c r="AS166" s="112"/>
      <c r="AT166" s="112"/>
    </row>
    <row r="167" ht="15.75" customHeight="1">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c r="AH167" s="112"/>
      <c r="AI167" s="112"/>
      <c r="AJ167" s="112"/>
      <c r="AK167" s="112"/>
      <c r="AL167" s="112"/>
      <c r="AM167" s="112"/>
      <c r="AN167" s="112"/>
      <c r="AO167" s="112"/>
      <c r="AP167" s="112"/>
      <c r="AQ167" s="112"/>
      <c r="AR167" s="112"/>
      <c r="AS167" s="112"/>
      <c r="AT167" s="112"/>
    </row>
    <row r="168" ht="15.75" customHeight="1">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c r="AH168" s="112"/>
      <c r="AI168" s="112"/>
      <c r="AJ168" s="112"/>
      <c r="AK168" s="112"/>
      <c r="AL168" s="112"/>
      <c r="AM168" s="112"/>
      <c r="AN168" s="112"/>
      <c r="AO168" s="112"/>
      <c r="AP168" s="112"/>
      <c r="AQ168" s="112"/>
      <c r="AR168" s="112"/>
      <c r="AS168" s="112"/>
      <c r="AT168" s="112"/>
    </row>
    <row r="169" ht="15.75" customHeight="1">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c r="AH169" s="112"/>
      <c r="AI169" s="112"/>
      <c r="AJ169" s="112"/>
      <c r="AK169" s="112"/>
      <c r="AL169" s="112"/>
      <c r="AM169" s="112"/>
      <c r="AN169" s="112"/>
      <c r="AO169" s="112"/>
      <c r="AP169" s="112"/>
      <c r="AQ169" s="112"/>
      <c r="AR169" s="112"/>
      <c r="AS169" s="112"/>
      <c r="AT169" s="112"/>
    </row>
    <row r="170" ht="15.75" customHeight="1">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c r="AH170" s="112"/>
      <c r="AI170" s="112"/>
      <c r="AJ170" s="112"/>
      <c r="AK170" s="112"/>
      <c r="AL170" s="112"/>
      <c r="AM170" s="112"/>
      <c r="AN170" s="112"/>
      <c r="AO170" s="112"/>
      <c r="AP170" s="112"/>
      <c r="AQ170" s="112"/>
      <c r="AR170" s="112"/>
      <c r="AS170" s="112"/>
      <c r="AT170" s="112"/>
    </row>
    <row r="171" ht="15.75" customHeight="1">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c r="AH171" s="112"/>
      <c r="AI171" s="112"/>
      <c r="AJ171" s="112"/>
      <c r="AK171" s="112"/>
      <c r="AL171" s="112"/>
      <c r="AM171" s="112"/>
      <c r="AN171" s="112"/>
      <c r="AO171" s="112"/>
      <c r="AP171" s="112"/>
      <c r="AQ171" s="112"/>
      <c r="AR171" s="112"/>
      <c r="AS171" s="112"/>
      <c r="AT171" s="112"/>
    </row>
    <row r="172" ht="15.75" customHeight="1">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2"/>
      <c r="AL172" s="112"/>
      <c r="AM172" s="112"/>
      <c r="AN172" s="112"/>
      <c r="AO172" s="112"/>
      <c r="AP172" s="112"/>
      <c r="AQ172" s="112"/>
      <c r="AR172" s="112"/>
      <c r="AS172" s="112"/>
      <c r="AT172" s="112"/>
    </row>
    <row r="173" ht="15.75" customHeight="1">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2"/>
      <c r="AL173" s="112"/>
      <c r="AM173" s="112"/>
      <c r="AN173" s="112"/>
      <c r="AO173" s="112"/>
      <c r="AP173" s="112"/>
      <c r="AQ173" s="112"/>
      <c r="AR173" s="112"/>
      <c r="AS173" s="112"/>
      <c r="AT173" s="112"/>
    </row>
    <row r="174" ht="15.75" customHeight="1">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c r="AH174" s="112"/>
      <c r="AI174" s="112"/>
      <c r="AJ174" s="112"/>
      <c r="AK174" s="112"/>
      <c r="AL174" s="112"/>
      <c r="AM174" s="112"/>
      <c r="AN174" s="112"/>
      <c r="AO174" s="112"/>
      <c r="AP174" s="112"/>
      <c r="AQ174" s="112"/>
      <c r="AR174" s="112"/>
      <c r="AS174" s="112"/>
      <c r="AT174" s="112"/>
    </row>
    <row r="175" ht="15.75" customHeight="1">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row>
    <row r="176" ht="15.75" customHeight="1">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row>
    <row r="177" ht="15.75" customHeight="1">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row>
    <row r="178" ht="15.75" customHeight="1">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2"/>
      <c r="AL178" s="112"/>
      <c r="AM178" s="112"/>
      <c r="AN178" s="112"/>
      <c r="AO178" s="112"/>
      <c r="AP178" s="112"/>
      <c r="AQ178" s="112"/>
      <c r="AR178" s="112"/>
      <c r="AS178" s="112"/>
      <c r="AT178" s="112"/>
    </row>
    <row r="179" ht="15.75" customHeight="1">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row>
    <row r="180" ht="15.75" customHeight="1">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c r="AH180" s="112"/>
      <c r="AI180" s="112"/>
      <c r="AJ180" s="112"/>
      <c r="AK180" s="112"/>
      <c r="AL180" s="112"/>
      <c r="AM180" s="112"/>
      <c r="AN180" s="112"/>
      <c r="AO180" s="112"/>
      <c r="AP180" s="112"/>
      <c r="AQ180" s="112"/>
      <c r="AR180" s="112"/>
      <c r="AS180" s="112"/>
      <c r="AT180" s="112"/>
    </row>
    <row r="181" ht="15.75" customHeight="1">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2"/>
      <c r="AL181" s="112"/>
      <c r="AM181" s="112"/>
      <c r="AN181" s="112"/>
      <c r="AO181" s="112"/>
      <c r="AP181" s="112"/>
      <c r="AQ181" s="112"/>
      <c r="AR181" s="112"/>
      <c r="AS181" s="112"/>
      <c r="AT181" s="112"/>
    </row>
    <row r="182" ht="15.75" customHeight="1">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2"/>
      <c r="AL182" s="112"/>
      <c r="AM182" s="112"/>
      <c r="AN182" s="112"/>
      <c r="AO182" s="112"/>
      <c r="AP182" s="112"/>
      <c r="AQ182" s="112"/>
      <c r="AR182" s="112"/>
      <c r="AS182" s="112"/>
      <c r="AT182" s="112"/>
    </row>
    <row r="183" ht="15.75" customHeight="1">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row>
    <row r="184" ht="15.75" customHeight="1">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2"/>
      <c r="AL184" s="112"/>
      <c r="AM184" s="112"/>
      <c r="AN184" s="112"/>
      <c r="AO184" s="112"/>
      <c r="AP184" s="112"/>
      <c r="AQ184" s="112"/>
      <c r="AR184" s="112"/>
      <c r="AS184" s="112"/>
      <c r="AT184" s="112"/>
    </row>
    <row r="185" ht="15.75" customHeight="1">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2"/>
      <c r="AL185" s="112"/>
      <c r="AM185" s="112"/>
      <c r="AN185" s="112"/>
      <c r="AO185" s="112"/>
      <c r="AP185" s="112"/>
      <c r="AQ185" s="112"/>
      <c r="AR185" s="112"/>
      <c r="AS185" s="112"/>
      <c r="AT185" s="112"/>
    </row>
    <row r="186" ht="15.75" customHeight="1">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c r="AH186" s="112"/>
      <c r="AI186" s="112"/>
      <c r="AJ186" s="112"/>
      <c r="AK186" s="112"/>
      <c r="AL186" s="112"/>
      <c r="AM186" s="112"/>
      <c r="AN186" s="112"/>
      <c r="AO186" s="112"/>
      <c r="AP186" s="112"/>
      <c r="AQ186" s="112"/>
      <c r="AR186" s="112"/>
      <c r="AS186" s="112"/>
      <c r="AT186" s="112"/>
    </row>
    <row r="187" ht="15.75" customHeight="1">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c r="AH187" s="112"/>
      <c r="AI187" s="112"/>
      <c r="AJ187" s="112"/>
      <c r="AK187" s="112"/>
      <c r="AL187" s="112"/>
      <c r="AM187" s="112"/>
      <c r="AN187" s="112"/>
      <c r="AO187" s="112"/>
      <c r="AP187" s="112"/>
      <c r="AQ187" s="112"/>
      <c r="AR187" s="112"/>
      <c r="AS187" s="112"/>
      <c r="AT187" s="112"/>
    </row>
    <row r="188" ht="15.75" customHeight="1">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c r="AH188" s="112"/>
      <c r="AI188" s="112"/>
      <c r="AJ188" s="112"/>
      <c r="AK188" s="112"/>
      <c r="AL188" s="112"/>
      <c r="AM188" s="112"/>
      <c r="AN188" s="112"/>
      <c r="AO188" s="112"/>
      <c r="AP188" s="112"/>
      <c r="AQ188" s="112"/>
      <c r="AR188" s="112"/>
      <c r="AS188" s="112"/>
      <c r="AT188" s="112"/>
    </row>
    <row r="189" ht="15.75" customHeight="1">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c r="AH189" s="112"/>
      <c r="AI189" s="112"/>
      <c r="AJ189" s="112"/>
      <c r="AK189" s="112"/>
      <c r="AL189" s="112"/>
      <c r="AM189" s="112"/>
      <c r="AN189" s="112"/>
      <c r="AO189" s="112"/>
      <c r="AP189" s="112"/>
      <c r="AQ189" s="112"/>
      <c r="AR189" s="112"/>
      <c r="AS189" s="112"/>
      <c r="AT189" s="112"/>
    </row>
    <row r="190" ht="15.75" customHeight="1">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c r="AH190" s="112"/>
      <c r="AI190" s="112"/>
      <c r="AJ190" s="112"/>
      <c r="AK190" s="112"/>
      <c r="AL190" s="112"/>
      <c r="AM190" s="112"/>
      <c r="AN190" s="112"/>
      <c r="AO190" s="112"/>
      <c r="AP190" s="112"/>
      <c r="AQ190" s="112"/>
      <c r="AR190" s="112"/>
      <c r="AS190" s="112"/>
      <c r="AT190" s="112"/>
    </row>
    <row r="191" ht="15.75" customHeight="1">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c r="AH191" s="112"/>
      <c r="AI191" s="112"/>
      <c r="AJ191" s="112"/>
      <c r="AK191" s="112"/>
      <c r="AL191" s="112"/>
      <c r="AM191" s="112"/>
      <c r="AN191" s="112"/>
      <c r="AO191" s="112"/>
      <c r="AP191" s="112"/>
      <c r="AQ191" s="112"/>
      <c r="AR191" s="112"/>
      <c r="AS191" s="112"/>
      <c r="AT191" s="112"/>
    </row>
    <row r="192" ht="15.75" customHeight="1">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c r="AH192" s="112"/>
      <c r="AI192" s="112"/>
      <c r="AJ192" s="112"/>
      <c r="AK192" s="112"/>
      <c r="AL192" s="112"/>
      <c r="AM192" s="112"/>
      <c r="AN192" s="112"/>
      <c r="AO192" s="112"/>
      <c r="AP192" s="112"/>
      <c r="AQ192" s="112"/>
      <c r="AR192" s="112"/>
      <c r="AS192" s="112"/>
      <c r="AT192" s="112"/>
    </row>
    <row r="193" ht="15.75" customHeight="1">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c r="AH193" s="112"/>
      <c r="AI193" s="112"/>
      <c r="AJ193" s="112"/>
      <c r="AK193" s="112"/>
      <c r="AL193" s="112"/>
      <c r="AM193" s="112"/>
      <c r="AN193" s="112"/>
      <c r="AO193" s="112"/>
      <c r="AP193" s="112"/>
      <c r="AQ193" s="112"/>
      <c r="AR193" s="112"/>
      <c r="AS193" s="112"/>
      <c r="AT193" s="112"/>
    </row>
    <row r="194" ht="15.75" customHeight="1">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row>
    <row r="195" ht="15.75" customHeight="1">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c r="AH195" s="112"/>
      <c r="AI195" s="112"/>
      <c r="AJ195" s="112"/>
      <c r="AK195" s="112"/>
      <c r="AL195" s="112"/>
      <c r="AM195" s="112"/>
      <c r="AN195" s="112"/>
      <c r="AO195" s="112"/>
      <c r="AP195" s="112"/>
      <c r="AQ195" s="112"/>
      <c r="AR195" s="112"/>
      <c r="AS195" s="112"/>
      <c r="AT195" s="112"/>
    </row>
    <row r="196" ht="15.75" customHeight="1">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c r="AH196" s="112"/>
      <c r="AI196" s="112"/>
      <c r="AJ196" s="112"/>
      <c r="AK196" s="112"/>
      <c r="AL196" s="112"/>
      <c r="AM196" s="112"/>
      <c r="AN196" s="112"/>
      <c r="AO196" s="112"/>
      <c r="AP196" s="112"/>
      <c r="AQ196" s="112"/>
      <c r="AR196" s="112"/>
      <c r="AS196" s="112"/>
      <c r="AT196" s="112"/>
    </row>
    <row r="197" ht="15.75" customHeight="1">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c r="AH197" s="112"/>
      <c r="AI197" s="112"/>
      <c r="AJ197" s="112"/>
      <c r="AK197" s="112"/>
      <c r="AL197" s="112"/>
      <c r="AM197" s="112"/>
      <c r="AN197" s="112"/>
      <c r="AO197" s="112"/>
      <c r="AP197" s="112"/>
      <c r="AQ197" s="112"/>
      <c r="AR197" s="112"/>
      <c r="AS197" s="112"/>
      <c r="AT197" s="112"/>
    </row>
    <row r="198" ht="15.75" customHeight="1">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c r="AH198" s="112"/>
      <c r="AI198" s="112"/>
      <c r="AJ198" s="112"/>
      <c r="AK198" s="112"/>
      <c r="AL198" s="112"/>
      <c r="AM198" s="112"/>
      <c r="AN198" s="112"/>
      <c r="AO198" s="112"/>
      <c r="AP198" s="112"/>
      <c r="AQ198" s="112"/>
      <c r="AR198" s="112"/>
      <c r="AS198" s="112"/>
      <c r="AT198" s="112"/>
    </row>
    <row r="199" ht="15.75" customHeight="1">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c r="AH199" s="112"/>
      <c r="AI199" s="112"/>
      <c r="AJ199" s="112"/>
      <c r="AK199" s="112"/>
      <c r="AL199" s="112"/>
      <c r="AM199" s="112"/>
      <c r="AN199" s="112"/>
      <c r="AO199" s="112"/>
      <c r="AP199" s="112"/>
      <c r="AQ199" s="112"/>
      <c r="AR199" s="112"/>
      <c r="AS199" s="112"/>
      <c r="AT199" s="112"/>
    </row>
    <row r="200" ht="15.75" customHeight="1">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c r="AH200" s="112"/>
      <c r="AI200" s="112"/>
      <c r="AJ200" s="112"/>
      <c r="AK200" s="112"/>
      <c r="AL200" s="112"/>
      <c r="AM200" s="112"/>
      <c r="AN200" s="112"/>
      <c r="AO200" s="112"/>
      <c r="AP200" s="112"/>
      <c r="AQ200" s="112"/>
      <c r="AR200" s="112"/>
      <c r="AS200" s="112"/>
      <c r="AT200" s="112"/>
    </row>
    <row r="201" ht="15.75" customHeight="1">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c r="AH201" s="112"/>
      <c r="AI201" s="112"/>
      <c r="AJ201" s="112"/>
      <c r="AK201" s="112"/>
      <c r="AL201" s="112"/>
      <c r="AM201" s="112"/>
      <c r="AN201" s="112"/>
      <c r="AO201" s="112"/>
      <c r="AP201" s="112"/>
      <c r="AQ201" s="112"/>
      <c r="AR201" s="112"/>
      <c r="AS201" s="112"/>
      <c r="AT201" s="112"/>
    </row>
    <row r="202" ht="15.75" customHeight="1">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c r="AH202" s="112"/>
      <c r="AI202" s="112"/>
      <c r="AJ202" s="112"/>
      <c r="AK202" s="112"/>
      <c r="AL202" s="112"/>
      <c r="AM202" s="112"/>
      <c r="AN202" s="112"/>
      <c r="AO202" s="112"/>
      <c r="AP202" s="112"/>
      <c r="AQ202" s="112"/>
      <c r="AR202" s="112"/>
      <c r="AS202" s="112"/>
      <c r="AT202" s="112"/>
    </row>
    <row r="203" ht="15.75" customHeight="1">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c r="AH203" s="112"/>
      <c r="AI203" s="112"/>
      <c r="AJ203" s="112"/>
      <c r="AK203" s="112"/>
      <c r="AL203" s="112"/>
      <c r="AM203" s="112"/>
      <c r="AN203" s="112"/>
      <c r="AO203" s="112"/>
      <c r="AP203" s="112"/>
      <c r="AQ203" s="112"/>
      <c r="AR203" s="112"/>
      <c r="AS203" s="112"/>
      <c r="AT203" s="112"/>
    </row>
    <row r="204" ht="15.75" customHeight="1">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c r="AH204" s="112"/>
      <c r="AI204" s="112"/>
      <c r="AJ204" s="112"/>
      <c r="AK204" s="112"/>
      <c r="AL204" s="112"/>
      <c r="AM204" s="112"/>
      <c r="AN204" s="112"/>
      <c r="AO204" s="112"/>
      <c r="AP204" s="112"/>
      <c r="AQ204" s="112"/>
      <c r="AR204" s="112"/>
      <c r="AS204" s="112"/>
      <c r="AT204" s="112"/>
    </row>
    <row r="205" ht="15.75" customHeight="1">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c r="AH205" s="112"/>
      <c r="AI205" s="112"/>
      <c r="AJ205" s="112"/>
      <c r="AK205" s="112"/>
      <c r="AL205" s="112"/>
      <c r="AM205" s="112"/>
      <c r="AN205" s="112"/>
      <c r="AO205" s="112"/>
      <c r="AP205" s="112"/>
      <c r="AQ205" s="112"/>
      <c r="AR205" s="112"/>
      <c r="AS205" s="112"/>
      <c r="AT205" s="112"/>
    </row>
    <row r="206" ht="15.75" customHeight="1">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c r="AH206" s="112"/>
      <c r="AI206" s="112"/>
      <c r="AJ206" s="112"/>
      <c r="AK206" s="112"/>
      <c r="AL206" s="112"/>
      <c r="AM206" s="112"/>
      <c r="AN206" s="112"/>
      <c r="AO206" s="112"/>
      <c r="AP206" s="112"/>
      <c r="AQ206" s="112"/>
      <c r="AR206" s="112"/>
      <c r="AS206" s="112"/>
      <c r="AT206" s="112"/>
    </row>
    <row r="207" ht="15.75" customHeight="1">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c r="AH207" s="112"/>
      <c r="AI207" s="112"/>
      <c r="AJ207" s="112"/>
      <c r="AK207" s="112"/>
      <c r="AL207" s="112"/>
      <c r="AM207" s="112"/>
      <c r="AN207" s="112"/>
      <c r="AO207" s="112"/>
      <c r="AP207" s="112"/>
      <c r="AQ207" s="112"/>
      <c r="AR207" s="112"/>
      <c r="AS207" s="112"/>
      <c r="AT207" s="112"/>
    </row>
    <row r="208" ht="15.75" customHeight="1">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c r="AH208" s="112"/>
      <c r="AI208" s="112"/>
      <c r="AJ208" s="112"/>
      <c r="AK208" s="112"/>
      <c r="AL208" s="112"/>
      <c r="AM208" s="112"/>
      <c r="AN208" s="112"/>
      <c r="AO208" s="112"/>
      <c r="AP208" s="112"/>
      <c r="AQ208" s="112"/>
      <c r="AR208" s="112"/>
      <c r="AS208" s="112"/>
      <c r="AT208" s="112"/>
    </row>
    <row r="209" ht="15.75" customHeight="1">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c r="AH209" s="112"/>
      <c r="AI209" s="112"/>
      <c r="AJ209" s="112"/>
      <c r="AK209" s="112"/>
      <c r="AL209" s="112"/>
      <c r="AM209" s="112"/>
      <c r="AN209" s="112"/>
      <c r="AO209" s="112"/>
      <c r="AP209" s="112"/>
      <c r="AQ209" s="112"/>
      <c r="AR209" s="112"/>
      <c r="AS209" s="112"/>
      <c r="AT209" s="112"/>
    </row>
    <row r="210" ht="15.75" customHeight="1">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c r="AH210" s="112"/>
      <c r="AI210" s="112"/>
      <c r="AJ210" s="112"/>
      <c r="AK210" s="112"/>
      <c r="AL210" s="112"/>
      <c r="AM210" s="112"/>
      <c r="AN210" s="112"/>
      <c r="AO210" s="112"/>
      <c r="AP210" s="112"/>
      <c r="AQ210" s="112"/>
      <c r="AR210" s="112"/>
      <c r="AS210" s="112"/>
      <c r="AT210" s="112"/>
    </row>
    <row r="211" ht="15.75" customHeight="1">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c r="AH211" s="112"/>
      <c r="AI211" s="112"/>
      <c r="AJ211" s="112"/>
      <c r="AK211" s="112"/>
      <c r="AL211" s="112"/>
      <c r="AM211" s="112"/>
      <c r="AN211" s="112"/>
      <c r="AO211" s="112"/>
      <c r="AP211" s="112"/>
      <c r="AQ211" s="112"/>
      <c r="AR211" s="112"/>
      <c r="AS211" s="112"/>
      <c r="AT211" s="112"/>
    </row>
    <row r="212" ht="15.75" customHeight="1">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c r="AH212" s="112"/>
      <c r="AI212" s="112"/>
      <c r="AJ212" s="112"/>
      <c r="AK212" s="112"/>
      <c r="AL212" s="112"/>
      <c r="AM212" s="112"/>
      <c r="AN212" s="112"/>
      <c r="AO212" s="112"/>
      <c r="AP212" s="112"/>
      <c r="AQ212" s="112"/>
      <c r="AR212" s="112"/>
      <c r="AS212" s="112"/>
      <c r="AT212" s="112"/>
    </row>
    <row r="213" ht="15.75" customHeight="1">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c r="AH213" s="112"/>
      <c r="AI213" s="112"/>
      <c r="AJ213" s="112"/>
      <c r="AK213" s="112"/>
      <c r="AL213" s="112"/>
      <c r="AM213" s="112"/>
      <c r="AN213" s="112"/>
      <c r="AO213" s="112"/>
      <c r="AP213" s="112"/>
      <c r="AQ213" s="112"/>
      <c r="AR213" s="112"/>
      <c r="AS213" s="112"/>
      <c r="AT213" s="112"/>
    </row>
    <row r="214" ht="15.75" customHeight="1">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row>
    <row r="215" ht="15.75" customHeight="1">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c r="AH215" s="112"/>
      <c r="AI215" s="112"/>
      <c r="AJ215" s="112"/>
      <c r="AK215" s="112"/>
      <c r="AL215" s="112"/>
      <c r="AM215" s="112"/>
      <c r="AN215" s="112"/>
      <c r="AO215" s="112"/>
      <c r="AP215" s="112"/>
      <c r="AQ215" s="112"/>
      <c r="AR215" s="112"/>
      <c r="AS215" s="112"/>
      <c r="AT215" s="112"/>
    </row>
    <row r="216" ht="15.75" customHeight="1">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c r="AH216" s="112"/>
      <c r="AI216" s="112"/>
      <c r="AJ216" s="112"/>
      <c r="AK216" s="112"/>
      <c r="AL216" s="112"/>
      <c r="AM216" s="112"/>
      <c r="AN216" s="112"/>
      <c r="AO216" s="112"/>
      <c r="AP216" s="112"/>
      <c r="AQ216" s="112"/>
      <c r="AR216" s="112"/>
      <c r="AS216" s="112"/>
      <c r="AT216" s="112"/>
    </row>
    <row r="217" ht="15.75" customHeight="1">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c r="AH217" s="112"/>
      <c r="AI217" s="112"/>
      <c r="AJ217" s="112"/>
      <c r="AK217" s="112"/>
      <c r="AL217" s="112"/>
      <c r="AM217" s="112"/>
      <c r="AN217" s="112"/>
      <c r="AO217" s="112"/>
      <c r="AP217" s="112"/>
      <c r="AQ217" s="112"/>
      <c r="AR217" s="112"/>
      <c r="AS217" s="112"/>
      <c r="AT217" s="112"/>
    </row>
    <row r="218" ht="15.75" customHeight="1">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c r="AH218" s="112"/>
      <c r="AI218" s="112"/>
      <c r="AJ218" s="112"/>
      <c r="AK218" s="112"/>
      <c r="AL218" s="112"/>
      <c r="AM218" s="112"/>
      <c r="AN218" s="112"/>
      <c r="AO218" s="112"/>
      <c r="AP218" s="112"/>
      <c r="AQ218" s="112"/>
      <c r="AR218" s="112"/>
      <c r="AS218" s="112"/>
      <c r="AT218" s="112"/>
    </row>
    <row r="219" ht="15.75" customHeight="1">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c r="AH219" s="112"/>
      <c r="AI219" s="112"/>
      <c r="AJ219" s="112"/>
      <c r="AK219" s="112"/>
      <c r="AL219" s="112"/>
      <c r="AM219" s="112"/>
      <c r="AN219" s="112"/>
      <c r="AO219" s="112"/>
      <c r="AP219" s="112"/>
      <c r="AQ219" s="112"/>
      <c r="AR219" s="112"/>
      <c r="AS219" s="112"/>
      <c r="AT219" s="112"/>
    </row>
    <row r="220" ht="15.75" customHeight="1">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c r="AH220" s="112"/>
      <c r="AI220" s="112"/>
      <c r="AJ220" s="112"/>
      <c r="AK220" s="112"/>
      <c r="AL220" s="112"/>
      <c r="AM220" s="112"/>
      <c r="AN220" s="112"/>
      <c r="AO220" s="112"/>
      <c r="AP220" s="112"/>
      <c r="AQ220" s="112"/>
      <c r="AR220" s="112"/>
      <c r="AS220" s="112"/>
      <c r="AT220" s="112"/>
    </row>
    <row r="221" ht="15.75" customHeight="1">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c r="AH221" s="112"/>
      <c r="AI221" s="112"/>
      <c r="AJ221" s="112"/>
      <c r="AK221" s="112"/>
      <c r="AL221" s="112"/>
      <c r="AM221" s="112"/>
      <c r="AN221" s="112"/>
      <c r="AO221" s="112"/>
      <c r="AP221" s="112"/>
      <c r="AQ221" s="112"/>
      <c r="AR221" s="112"/>
      <c r="AS221" s="112"/>
      <c r="AT221" s="112"/>
    </row>
    <row r="222" ht="15.75" customHeight="1">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c r="AH222" s="112"/>
      <c r="AI222" s="112"/>
      <c r="AJ222" s="112"/>
      <c r="AK222" s="112"/>
      <c r="AL222" s="112"/>
      <c r="AM222" s="112"/>
      <c r="AN222" s="112"/>
      <c r="AO222" s="112"/>
      <c r="AP222" s="112"/>
      <c r="AQ222" s="112"/>
      <c r="AR222" s="112"/>
      <c r="AS222" s="112"/>
      <c r="AT222" s="112"/>
    </row>
    <row r="223" ht="15.75" customHeight="1">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c r="AH223" s="112"/>
      <c r="AI223" s="112"/>
      <c r="AJ223" s="112"/>
      <c r="AK223" s="112"/>
      <c r="AL223" s="112"/>
      <c r="AM223" s="112"/>
      <c r="AN223" s="112"/>
      <c r="AO223" s="112"/>
      <c r="AP223" s="112"/>
      <c r="AQ223" s="112"/>
      <c r="AR223" s="112"/>
      <c r="AS223" s="112"/>
      <c r="AT223" s="112"/>
    </row>
    <row r="224" ht="15.75" customHeight="1">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c r="AH224" s="112"/>
      <c r="AI224" s="112"/>
      <c r="AJ224" s="112"/>
      <c r="AK224" s="112"/>
      <c r="AL224" s="112"/>
      <c r="AM224" s="112"/>
      <c r="AN224" s="112"/>
      <c r="AO224" s="112"/>
      <c r="AP224" s="112"/>
      <c r="AQ224" s="112"/>
      <c r="AR224" s="112"/>
      <c r="AS224" s="112"/>
      <c r="AT224" s="112"/>
    </row>
    <row r="225" ht="15.75" customHeight="1">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c r="AH225" s="112"/>
      <c r="AI225" s="112"/>
      <c r="AJ225" s="112"/>
      <c r="AK225" s="112"/>
      <c r="AL225" s="112"/>
      <c r="AM225" s="112"/>
      <c r="AN225" s="112"/>
      <c r="AO225" s="112"/>
      <c r="AP225" s="112"/>
      <c r="AQ225" s="112"/>
      <c r="AR225" s="112"/>
      <c r="AS225" s="112"/>
      <c r="AT225" s="112"/>
    </row>
    <row r="226" ht="15.75" customHeight="1">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c r="AH226" s="112"/>
      <c r="AI226" s="112"/>
      <c r="AJ226" s="112"/>
      <c r="AK226" s="112"/>
      <c r="AL226" s="112"/>
      <c r="AM226" s="112"/>
      <c r="AN226" s="112"/>
      <c r="AO226" s="112"/>
      <c r="AP226" s="112"/>
      <c r="AQ226" s="112"/>
      <c r="AR226" s="112"/>
      <c r="AS226" s="112"/>
      <c r="AT226" s="112"/>
    </row>
    <row r="227" ht="15.75" customHeight="1">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c r="AH227" s="112"/>
      <c r="AI227" s="112"/>
      <c r="AJ227" s="112"/>
      <c r="AK227" s="112"/>
      <c r="AL227" s="112"/>
      <c r="AM227" s="112"/>
      <c r="AN227" s="112"/>
      <c r="AO227" s="112"/>
      <c r="AP227" s="112"/>
      <c r="AQ227" s="112"/>
      <c r="AR227" s="112"/>
      <c r="AS227" s="112"/>
      <c r="AT227" s="112"/>
    </row>
    <row r="228" ht="15.75" customHeight="1">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c r="AH228" s="112"/>
      <c r="AI228" s="112"/>
      <c r="AJ228" s="112"/>
      <c r="AK228" s="112"/>
      <c r="AL228" s="112"/>
      <c r="AM228" s="112"/>
      <c r="AN228" s="112"/>
      <c r="AO228" s="112"/>
      <c r="AP228" s="112"/>
      <c r="AQ228" s="112"/>
      <c r="AR228" s="112"/>
      <c r="AS228" s="112"/>
      <c r="AT228" s="112"/>
    </row>
    <row r="229" ht="15.75" customHeight="1">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c r="AH229" s="112"/>
      <c r="AI229" s="112"/>
      <c r="AJ229" s="112"/>
      <c r="AK229" s="112"/>
      <c r="AL229" s="112"/>
      <c r="AM229" s="112"/>
      <c r="AN229" s="112"/>
      <c r="AO229" s="112"/>
      <c r="AP229" s="112"/>
      <c r="AQ229" s="112"/>
      <c r="AR229" s="112"/>
      <c r="AS229" s="112"/>
      <c r="AT229" s="112"/>
    </row>
    <row r="230" ht="15.75" customHeight="1">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c r="AH230" s="112"/>
      <c r="AI230" s="112"/>
      <c r="AJ230" s="112"/>
      <c r="AK230" s="112"/>
      <c r="AL230" s="112"/>
      <c r="AM230" s="112"/>
      <c r="AN230" s="112"/>
      <c r="AO230" s="112"/>
      <c r="AP230" s="112"/>
      <c r="AQ230" s="112"/>
      <c r="AR230" s="112"/>
      <c r="AS230" s="112"/>
      <c r="AT230" s="112"/>
    </row>
    <row r="231" ht="15.75" customHeight="1">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c r="AH231" s="112"/>
      <c r="AI231" s="112"/>
      <c r="AJ231" s="112"/>
      <c r="AK231" s="112"/>
      <c r="AL231" s="112"/>
      <c r="AM231" s="112"/>
      <c r="AN231" s="112"/>
      <c r="AO231" s="112"/>
      <c r="AP231" s="112"/>
      <c r="AQ231" s="112"/>
      <c r="AR231" s="112"/>
      <c r="AS231" s="112"/>
      <c r="AT231" s="112"/>
    </row>
    <row r="232" ht="15.75" customHeight="1">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c r="AH232" s="112"/>
      <c r="AI232" s="112"/>
      <c r="AJ232" s="112"/>
      <c r="AK232" s="112"/>
      <c r="AL232" s="112"/>
      <c r="AM232" s="112"/>
      <c r="AN232" s="112"/>
      <c r="AO232" s="112"/>
      <c r="AP232" s="112"/>
      <c r="AQ232" s="112"/>
      <c r="AR232" s="112"/>
      <c r="AS232" s="112"/>
      <c r="AT232" s="112"/>
    </row>
    <row r="233" ht="15.75" customHeight="1">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c r="AH233" s="112"/>
      <c r="AI233" s="112"/>
      <c r="AJ233" s="112"/>
      <c r="AK233" s="112"/>
      <c r="AL233" s="112"/>
      <c r="AM233" s="112"/>
      <c r="AN233" s="112"/>
      <c r="AO233" s="112"/>
      <c r="AP233" s="112"/>
      <c r="AQ233" s="112"/>
      <c r="AR233" s="112"/>
      <c r="AS233" s="112"/>
      <c r="AT233" s="112"/>
    </row>
    <row r="234" ht="15.75" customHeight="1">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c r="AH234" s="112"/>
      <c r="AI234" s="112"/>
      <c r="AJ234" s="112"/>
      <c r="AK234" s="112"/>
      <c r="AL234" s="112"/>
      <c r="AM234" s="112"/>
      <c r="AN234" s="112"/>
      <c r="AO234" s="112"/>
      <c r="AP234" s="112"/>
      <c r="AQ234" s="112"/>
      <c r="AR234" s="112"/>
      <c r="AS234" s="112"/>
      <c r="AT234" s="112"/>
    </row>
    <row r="235" ht="15.75" customHeight="1">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c r="AH235" s="112"/>
      <c r="AI235" s="112"/>
      <c r="AJ235" s="112"/>
      <c r="AK235" s="112"/>
      <c r="AL235" s="112"/>
      <c r="AM235" s="112"/>
      <c r="AN235" s="112"/>
      <c r="AO235" s="112"/>
      <c r="AP235" s="112"/>
      <c r="AQ235" s="112"/>
      <c r="AR235" s="112"/>
      <c r="AS235" s="112"/>
      <c r="AT235" s="112"/>
    </row>
    <row r="236" ht="15.75" customHeight="1">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c r="AH236" s="112"/>
      <c r="AI236" s="112"/>
      <c r="AJ236" s="112"/>
      <c r="AK236" s="112"/>
      <c r="AL236" s="112"/>
      <c r="AM236" s="112"/>
      <c r="AN236" s="112"/>
      <c r="AO236" s="112"/>
      <c r="AP236" s="112"/>
      <c r="AQ236" s="112"/>
      <c r="AR236" s="112"/>
      <c r="AS236" s="112"/>
      <c r="AT236" s="112"/>
    </row>
    <row r="237" ht="15.75" customHeight="1">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c r="AH237" s="112"/>
      <c r="AI237" s="112"/>
      <c r="AJ237" s="112"/>
      <c r="AK237" s="112"/>
      <c r="AL237" s="112"/>
      <c r="AM237" s="112"/>
      <c r="AN237" s="112"/>
      <c r="AO237" s="112"/>
      <c r="AP237" s="112"/>
      <c r="AQ237" s="112"/>
      <c r="AR237" s="112"/>
      <c r="AS237" s="112"/>
      <c r="AT237" s="112"/>
    </row>
    <row r="238" ht="15.75" customHeight="1">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c r="AH238" s="112"/>
      <c r="AI238" s="112"/>
      <c r="AJ238" s="112"/>
      <c r="AK238" s="112"/>
      <c r="AL238" s="112"/>
      <c r="AM238" s="112"/>
      <c r="AN238" s="112"/>
      <c r="AO238" s="112"/>
      <c r="AP238" s="112"/>
      <c r="AQ238" s="112"/>
      <c r="AR238" s="112"/>
      <c r="AS238" s="112"/>
      <c r="AT238" s="112"/>
    </row>
    <row r="239" ht="15.75" customHeight="1">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c r="AH239" s="112"/>
      <c r="AI239" s="112"/>
      <c r="AJ239" s="112"/>
      <c r="AK239" s="112"/>
      <c r="AL239" s="112"/>
      <c r="AM239" s="112"/>
      <c r="AN239" s="112"/>
      <c r="AO239" s="112"/>
      <c r="AP239" s="112"/>
      <c r="AQ239" s="112"/>
      <c r="AR239" s="112"/>
      <c r="AS239" s="112"/>
      <c r="AT239" s="112"/>
    </row>
    <row r="240" ht="15.75" customHeight="1">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c r="AH240" s="112"/>
      <c r="AI240" s="112"/>
      <c r="AJ240" s="112"/>
      <c r="AK240" s="112"/>
      <c r="AL240" s="112"/>
      <c r="AM240" s="112"/>
      <c r="AN240" s="112"/>
      <c r="AO240" s="112"/>
      <c r="AP240" s="112"/>
      <c r="AQ240" s="112"/>
      <c r="AR240" s="112"/>
      <c r="AS240" s="112"/>
      <c r="AT240" s="112"/>
    </row>
    <row r="241" ht="15.75" customHeight="1">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2"/>
      <c r="AO241" s="112"/>
      <c r="AP241" s="112"/>
      <c r="AQ241" s="112"/>
      <c r="AR241" s="112"/>
      <c r="AS241" s="112"/>
      <c r="AT241" s="112"/>
    </row>
    <row r="242" ht="15.75" customHeight="1">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2"/>
      <c r="AO242" s="112"/>
      <c r="AP242" s="112"/>
      <c r="AQ242" s="112"/>
      <c r="AR242" s="112"/>
      <c r="AS242" s="112"/>
      <c r="AT242" s="112"/>
    </row>
    <row r="243" ht="15.75" customHeight="1">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2"/>
      <c r="AO243" s="112"/>
      <c r="AP243" s="112"/>
      <c r="AQ243" s="112"/>
      <c r="AR243" s="112"/>
      <c r="AS243" s="112"/>
      <c r="AT243" s="112"/>
    </row>
    <row r="244" ht="15.75" customHeight="1">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2"/>
      <c r="AO244" s="112"/>
      <c r="AP244" s="112"/>
      <c r="AQ244" s="112"/>
      <c r="AR244" s="112"/>
      <c r="AS244" s="112"/>
      <c r="AT244" s="112"/>
    </row>
    <row r="245" ht="15.75" customHeight="1">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c r="AH245" s="112"/>
      <c r="AI245" s="112"/>
      <c r="AJ245" s="112"/>
      <c r="AK245" s="112"/>
      <c r="AL245" s="112"/>
      <c r="AM245" s="112"/>
      <c r="AN245" s="112"/>
      <c r="AO245" s="112"/>
      <c r="AP245" s="112"/>
      <c r="AQ245" s="112"/>
      <c r="AR245" s="112"/>
      <c r="AS245" s="112"/>
      <c r="AT245" s="112"/>
    </row>
    <row r="246" ht="15.75" customHeight="1">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2"/>
      <c r="AO246" s="112"/>
      <c r="AP246" s="112"/>
      <c r="AQ246" s="112"/>
      <c r="AR246" s="112"/>
      <c r="AS246" s="112"/>
      <c r="AT246" s="112"/>
    </row>
    <row r="247" ht="15.75" customHeight="1">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2"/>
      <c r="AO247" s="112"/>
      <c r="AP247" s="112"/>
      <c r="AQ247" s="112"/>
      <c r="AR247" s="112"/>
      <c r="AS247" s="112"/>
      <c r="AT247" s="112"/>
    </row>
    <row r="248" ht="15.75" customHeight="1">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2"/>
      <c r="AO248" s="112"/>
      <c r="AP248" s="112"/>
      <c r="AQ248" s="112"/>
      <c r="AR248" s="112"/>
      <c r="AS248" s="112"/>
      <c r="AT248" s="112"/>
    </row>
    <row r="249" ht="15.75" customHeight="1">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c r="AH249" s="112"/>
      <c r="AI249" s="112"/>
      <c r="AJ249" s="112"/>
      <c r="AK249" s="112"/>
      <c r="AL249" s="112"/>
      <c r="AM249" s="112"/>
      <c r="AN249" s="112"/>
      <c r="AO249" s="112"/>
      <c r="AP249" s="112"/>
      <c r="AQ249" s="112"/>
      <c r="AR249" s="112"/>
      <c r="AS249" s="112"/>
      <c r="AT249" s="112"/>
    </row>
    <row r="250" ht="15.75" customHeight="1">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c r="AP250" s="112"/>
      <c r="AQ250" s="112"/>
      <c r="AR250" s="112"/>
      <c r="AS250" s="112"/>
      <c r="AT250" s="112"/>
    </row>
    <row r="251" ht="15.75" customHeight="1">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2"/>
      <c r="AO251" s="112"/>
      <c r="AP251" s="112"/>
      <c r="AQ251" s="112"/>
      <c r="AR251" s="112"/>
      <c r="AS251" s="112"/>
      <c r="AT251" s="112"/>
    </row>
    <row r="252" ht="15.75" customHeight="1">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c r="AH252" s="112"/>
      <c r="AI252" s="112"/>
      <c r="AJ252" s="112"/>
      <c r="AK252" s="112"/>
      <c r="AL252" s="112"/>
      <c r="AM252" s="112"/>
      <c r="AN252" s="112"/>
      <c r="AO252" s="112"/>
      <c r="AP252" s="112"/>
      <c r="AQ252" s="112"/>
      <c r="AR252" s="112"/>
      <c r="AS252" s="112"/>
      <c r="AT252" s="112"/>
    </row>
    <row r="253" ht="15.75" customHeight="1">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2"/>
      <c r="AO253" s="112"/>
      <c r="AP253" s="112"/>
      <c r="AQ253" s="112"/>
      <c r="AR253" s="112"/>
      <c r="AS253" s="112"/>
      <c r="AT253" s="112"/>
    </row>
    <row r="254" ht="15.75" customHeight="1">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2"/>
      <c r="AO254" s="112"/>
      <c r="AP254" s="112"/>
      <c r="AQ254" s="112"/>
      <c r="AR254" s="112"/>
      <c r="AS254" s="112"/>
      <c r="AT254" s="112"/>
    </row>
    <row r="255" ht="15.75" customHeight="1">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c r="AH255" s="112"/>
      <c r="AI255" s="112"/>
      <c r="AJ255" s="112"/>
      <c r="AK255" s="112"/>
      <c r="AL255" s="112"/>
      <c r="AM255" s="112"/>
      <c r="AN255" s="112"/>
      <c r="AO255" s="112"/>
      <c r="AP255" s="112"/>
      <c r="AQ255" s="112"/>
      <c r="AR255" s="112"/>
      <c r="AS255" s="112"/>
      <c r="AT255" s="112"/>
    </row>
    <row r="256" ht="15.75" customHeight="1">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2"/>
      <c r="AO256" s="112"/>
      <c r="AP256" s="112"/>
      <c r="AQ256" s="112"/>
      <c r="AR256" s="112"/>
      <c r="AS256" s="112"/>
      <c r="AT256" s="112"/>
    </row>
    <row r="257" ht="15.75" customHeight="1">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2"/>
      <c r="AO257" s="112"/>
      <c r="AP257" s="112"/>
      <c r="AQ257" s="112"/>
      <c r="AR257" s="112"/>
      <c r="AS257" s="112"/>
      <c r="AT257" s="112"/>
    </row>
    <row r="258" ht="15.75" customHeight="1">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c r="AH258" s="112"/>
      <c r="AI258" s="112"/>
      <c r="AJ258" s="112"/>
      <c r="AK258" s="112"/>
      <c r="AL258" s="112"/>
      <c r="AM258" s="112"/>
      <c r="AN258" s="112"/>
      <c r="AO258" s="112"/>
      <c r="AP258" s="112"/>
      <c r="AQ258" s="112"/>
      <c r="AR258" s="112"/>
      <c r="AS258" s="112"/>
      <c r="AT258" s="112"/>
    </row>
    <row r="259" ht="15.75" customHeight="1">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2"/>
      <c r="AO259" s="112"/>
      <c r="AP259" s="112"/>
      <c r="AQ259" s="112"/>
      <c r="AR259" s="112"/>
      <c r="AS259" s="112"/>
      <c r="AT259" s="112"/>
    </row>
    <row r="260" ht="15.75" customHeight="1">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c r="AH260" s="112"/>
      <c r="AI260" s="112"/>
      <c r="AJ260" s="112"/>
      <c r="AK260" s="112"/>
      <c r="AL260" s="112"/>
      <c r="AM260" s="112"/>
      <c r="AN260" s="112"/>
      <c r="AO260" s="112"/>
      <c r="AP260" s="112"/>
      <c r="AQ260" s="112"/>
      <c r="AR260" s="112"/>
      <c r="AS260" s="112"/>
      <c r="AT260" s="112"/>
    </row>
    <row r="261" ht="15.75" customHeight="1">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2"/>
      <c r="AO261" s="112"/>
      <c r="AP261" s="112"/>
      <c r="AQ261" s="112"/>
      <c r="AR261" s="112"/>
      <c r="AS261" s="112"/>
      <c r="AT261" s="112"/>
    </row>
    <row r="262" ht="15.75" customHeight="1">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2"/>
      <c r="AO262" s="112"/>
      <c r="AP262" s="112"/>
      <c r="AQ262" s="112"/>
      <c r="AR262" s="112"/>
      <c r="AS262" s="112"/>
      <c r="AT262" s="112"/>
    </row>
    <row r="263" ht="15.75" customHeight="1">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c r="AH263" s="112"/>
      <c r="AI263" s="112"/>
      <c r="AJ263" s="112"/>
      <c r="AK263" s="112"/>
      <c r="AL263" s="112"/>
      <c r="AM263" s="112"/>
      <c r="AN263" s="112"/>
      <c r="AO263" s="112"/>
      <c r="AP263" s="112"/>
      <c r="AQ263" s="112"/>
      <c r="AR263" s="112"/>
      <c r="AS263" s="112"/>
      <c r="AT263" s="112"/>
    </row>
    <row r="264" ht="15.75" customHeight="1">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2"/>
      <c r="AO264" s="112"/>
      <c r="AP264" s="112"/>
      <c r="AQ264" s="112"/>
      <c r="AR264" s="112"/>
      <c r="AS264" s="112"/>
      <c r="AT264" s="112"/>
    </row>
    <row r="265" ht="15.75" customHeight="1">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2"/>
      <c r="AO265" s="112"/>
      <c r="AP265" s="112"/>
      <c r="AQ265" s="112"/>
      <c r="AR265" s="112"/>
      <c r="AS265" s="112"/>
      <c r="AT265" s="112"/>
    </row>
    <row r="266" ht="15.75" customHeight="1">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2"/>
      <c r="AO266" s="112"/>
      <c r="AP266" s="112"/>
      <c r="AQ266" s="112"/>
      <c r="AR266" s="112"/>
      <c r="AS266" s="112"/>
      <c r="AT266" s="112"/>
    </row>
    <row r="267" ht="15.75" customHeight="1">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2"/>
      <c r="AO267" s="112"/>
      <c r="AP267" s="112"/>
      <c r="AQ267" s="112"/>
      <c r="AR267" s="112"/>
      <c r="AS267" s="112"/>
      <c r="AT267" s="112"/>
    </row>
    <row r="268" ht="15.75" customHeight="1">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c r="AH268" s="112"/>
      <c r="AI268" s="112"/>
      <c r="AJ268" s="112"/>
      <c r="AK268" s="112"/>
      <c r="AL268" s="112"/>
      <c r="AM268" s="112"/>
      <c r="AN268" s="112"/>
      <c r="AO268" s="112"/>
      <c r="AP268" s="112"/>
      <c r="AQ268" s="112"/>
      <c r="AR268" s="112"/>
      <c r="AS268" s="112"/>
      <c r="AT268" s="112"/>
    </row>
    <row r="269" ht="15.75" customHeight="1">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row>
    <row r="270" ht="15.75" customHeight="1">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c r="AH270" s="112"/>
      <c r="AI270" s="112"/>
      <c r="AJ270" s="112"/>
      <c r="AK270" s="112"/>
      <c r="AL270" s="112"/>
      <c r="AM270" s="112"/>
      <c r="AN270" s="112"/>
      <c r="AO270" s="112"/>
      <c r="AP270" s="112"/>
      <c r="AQ270" s="112"/>
      <c r="AR270" s="112"/>
      <c r="AS270" s="112"/>
      <c r="AT270" s="112"/>
    </row>
    <row r="271" ht="15.75" customHeight="1">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2"/>
      <c r="AP271" s="112"/>
      <c r="AQ271" s="112"/>
      <c r="AR271" s="112"/>
      <c r="AS271" s="112"/>
      <c r="AT271" s="112"/>
    </row>
    <row r="272" ht="15.75" customHeight="1">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2"/>
      <c r="AP272" s="112"/>
      <c r="AQ272" s="112"/>
      <c r="AR272" s="112"/>
      <c r="AS272" s="112"/>
      <c r="AT272" s="112"/>
    </row>
    <row r="273" ht="15.75" customHeight="1">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2"/>
      <c r="AP273" s="112"/>
      <c r="AQ273" s="112"/>
      <c r="AR273" s="112"/>
      <c r="AS273" s="112"/>
      <c r="AT273" s="112"/>
    </row>
    <row r="274" ht="15.75" customHeight="1">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2"/>
      <c r="AP274" s="112"/>
      <c r="AQ274" s="112"/>
      <c r="AR274" s="112"/>
      <c r="AS274" s="112"/>
      <c r="AT274" s="112"/>
    </row>
    <row r="275" ht="15.75" customHeight="1">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c r="AH275" s="112"/>
      <c r="AI275" s="112"/>
      <c r="AJ275" s="112"/>
      <c r="AK275" s="112"/>
      <c r="AL275" s="112"/>
      <c r="AM275" s="112"/>
      <c r="AN275" s="112"/>
      <c r="AO275" s="112"/>
      <c r="AP275" s="112"/>
      <c r="AQ275" s="112"/>
      <c r="AR275" s="112"/>
      <c r="AS275" s="112"/>
      <c r="AT275" s="112"/>
    </row>
    <row r="276" ht="15.75" customHeight="1">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c r="AH276" s="112"/>
      <c r="AI276" s="112"/>
      <c r="AJ276" s="112"/>
      <c r="AK276" s="112"/>
      <c r="AL276" s="112"/>
      <c r="AM276" s="112"/>
      <c r="AN276" s="112"/>
      <c r="AO276" s="112"/>
      <c r="AP276" s="112"/>
      <c r="AQ276" s="112"/>
      <c r="AR276" s="112"/>
      <c r="AS276" s="112"/>
      <c r="AT276" s="112"/>
    </row>
    <row r="277" ht="15.75" customHeight="1">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c r="AH277" s="112"/>
      <c r="AI277" s="112"/>
      <c r="AJ277" s="112"/>
      <c r="AK277" s="112"/>
      <c r="AL277" s="112"/>
      <c r="AM277" s="112"/>
      <c r="AN277" s="112"/>
      <c r="AO277" s="112"/>
      <c r="AP277" s="112"/>
      <c r="AQ277" s="112"/>
      <c r="AR277" s="112"/>
      <c r="AS277" s="112"/>
      <c r="AT277" s="112"/>
    </row>
    <row r="278" ht="15.75" customHeight="1">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c r="AH278" s="112"/>
      <c r="AI278" s="112"/>
      <c r="AJ278" s="112"/>
      <c r="AK278" s="112"/>
      <c r="AL278" s="112"/>
      <c r="AM278" s="112"/>
      <c r="AN278" s="112"/>
      <c r="AO278" s="112"/>
      <c r="AP278" s="112"/>
      <c r="AQ278" s="112"/>
      <c r="AR278" s="112"/>
      <c r="AS278" s="112"/>
      <c r="AT278" s="112"/>
    </row>
    <row r="279" ht="15.75" customHeight="1">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c r="AH279" s="112"/>
      <c r="AI279" s="112"/>
      <c r="AJ279" s="112"/>
      <c r="AK279" s="112"/>
      <c r="AL279" s="112"/>
      <c r="AM279" s="112"/>
      <c r="AN279" s="112"/>
      <c r="AO279" s="112"/>
      <c r="AP279" s="112"/>
      <c r="AQ279" s="112"/>
      <c r="AR279" s="112"/>
      <c r="AS279" s="112"/>
      <c r="AT279" s="112"/>
    </row>
    <row r="280" ht="15.75" customHeight="1">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c r="AH280" s="112"/>
      <c r="AI280" s="112"/>
      <c r="AJ280" s="112"/>
      <c r="AK280" s="112"/>
      <c r="AL280" s="112"/>
      <c r="AM280" s="112"/>
      <c r="AN280" s="112"/>
      <c r="AO280" s="112"/>
      <c r="AP280" s="112"/>
      <c r="AQ280" s="112"/>
      <c r="AR280" s="112"/>
      <c r="AS280" s="112"/>
      <c r="AT280" s="112"/>
    </row>
    <row r="281" ht="15.75" customHeight="1">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c r="AH281" s="112"/>
      <c r="AI281" s="112"/>
      <c r="AJ281" s="112"/>
      <c r="AK281" s="112"/>
      <c r="AL281" s="112"/>
      <c r="AM281" s="112"/>
      <c r="AN281" s="112"/>
      <c r="AO281" s="112"/>
      <c r="AP281" s="112"/>
      <c r="AQ281" s="112"/>
      <c r="AR281" s="112"/>
      <c r="AS281" s="112"/>
      <c r="AT281" s="112"/>
    </row>
    <row r="282" ht="15.75" customHeight="1">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2"/>
      <c r="AL282" s="112"/>
      <c r="AM282" s="112"/>
      <c r="AN282" s="112"/>
      <c r="AO282" s="112"/>
      <c r="AP282" s="112"/>
      <c r="AQ282" s="112"/>
      <c r="AR282" s="112"/>
      <c r="AS282" s="112"/>
      <c r="AT282" s="112"/>
    </row>
    <row r="283" ht="15.75" customHeight="1">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2"/>
      <c r="AL283" s="112"/>
      <c r="AM283" s="112"/>
      <c r="AN283" s="112"/>
      <c r="AO283" s="112"/>
      <c r="AP283" s="112"/>
      <c r="AQ283" s="112"/>
      <c r="AR283" s="112"/>
      <c r="AS283" s="112"/>
      <c r="AT283" s="112"/>
    </row>
    <row r="284" ht="15.75" customHeight="1">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2"/>
      <c r="AL284" s="112"/>
      <c r="AM284" s="112"/>
      <c r="AN284" s="112"/>
      <c r="AO284" s="112"/>
      <c r="AP284" s="112"/>
      <c r="AQ284" s="112"/>
      <c r="AR284" s="112"/>
      <c r="AS284" s="112"/>
      <c r="AT284" s="112"/>
    </row>
    <row r="285" ht="15.75" customHeight="1">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2"/>
      <c r="AL285" s="112"/>
      <c r="AM285" s="112"/>
      <c r="AN285" s="112"/>
      <c r="AO285" s="112"/>
      <c r="AP285" s="112"/>
      <c r="AQ285" s="112"/>
      <c r="AR285" s="112"/>
      <c r="AS285" s="112"/>
      <c r="AT285" s="112"/>
    </row>
    <row r="286" ht="15.75" customHeight="1">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2"/>
      <c r="AL286" s="112"/>
      <c r="AM286" s="112"/>
      <c r="AN286" s="112"/>
      <c r="AO286" s="112"/>
      <c r="AP286" s="112"/>
      <c r="AQ286" s="112"/>
      <c r="AR286" s="112"/>
      <c r="AS286" s="112"/>
      <c r="AT286" s="112"/>
    </row>
    <row r="287" ht="15.75" customHeight="1">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2"/>
      <c r="AL287" s="112"/>
      <c r="AM287" s="112"/>
      <c r="AN287" s="112"/>
      <c r="AO287" s="112"/>
      <c r="AP287" s="112"/>
      <c r="AQ287" s="112"/>
      <c r="AR287" s="112"/>
      <c r="AS287" s="112"/>
      <c r="AT287" s="112"/>
    </row>
    <row r="288" ht="15.75" customHeight="1">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2"/>
      <c r="AL288" s="112"/>
      <c r="AM288" s="112"/>
      <c r="AN288" s="112"/>
      <c r="AO288" s="112"/>
      <c r="AP288" s="112"/>
      <c r="AQ288" s="112"/>
      <c r="AR288" s="112"/>
      <c r="AS288" s="112"/>
      <c r="AT288" s="112"/>
    </row>
    <row r="289" ht="15.75" customHeight="1">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2"/>
      <c r="AL289" s="112"/>
      <c r="AM289" s="112"/>
      <c r="AN289" s="112"/>
      <c r="AO289" s="112"/>
      <c r="AP289" s="112"/>
      <c r="AQ289" s="112"/>
      <c r="AR289" s="112"/>
      <c r="AS289" s="112"/>
      <c r="AT289" s="112"/>
    </row>
    <row r="290" ht="15.75" customHeight="1">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2"/>
      <c r="AL290" s="112"/>
      <c r="AM290" s="112"/>
      <c r="AN290" s="112"/>
      <c r="AO290" s="112"/>
      <c r="AP290" s="112"/>
      <c r="AQ290" s="112"/>
      <c r="AR290" s="112"/>
      <c r="AS290" s="112"/>
      <c r="AT290" s="112"/>
    </row>
    <row r="291" ht="15.75" customHeight="1">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2"/>
      <c r="AL291" s="112"/>
      <c r="AM291" s="112"/>
      <c r="AN291" s="112"/>
      <c r="AO291" s="112"/>
      <c r="AP291" s="112"/>
      <c r="AQ291" s="112"/>
      <c r="AR291" s="112"/>
      <c r="AS291" s="112"/>
      <c r="AT291" s="112"/>
    </row>
    <row r="292" ht="15.75" customHeight="1">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2"/>
      <c r="AL292" s="112"/>
      <c r="AM292" s="112"/>
      <c r="AN292" s="112"/>
      <c r="AO292" s="112"/>
      <c r="AP292" s="112"/>
      <c r="AQ292" s="112"/>
      <c r="AR292" s="112"/>
      <c r="AS292" s="112"/>
      <c r="AT292" s="112"/>
    </row>
    <row r="293" ht="15.75" customHeight="1">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2"/>
      <c r="AL293" s="112"/>
      <c r="AM293" s="112"/>
      <c r="AN293" s="112"/>
      <c r="AO293" s="112"/>
      <c r="AP293" s="112"/>
      <c r="AQ293" s="112"/>
      <c r="AR293" s="112"/>
      <c r="AS293" s="112"/>
      <c r="AT293" s="112"/>
    </row>
    <row r="294" ht="15.75" customHeight="1">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2"/>
      <c r="AL294" s="112"/>
      <c r="AM294" s="112"/>
      <c r="AN294" s="112"/>
      <c r="AO294" s="112"/>
      <c r="AP294" s="112"/>
      <c r="AQ294" s="112"/>
      <c r="AR294" s="112"/>
      <c r="AS294" s="112"/>
      <c r="AT294" s="112"/>
    </row>
    <row r="295" ht="15.75" customHeight="1">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2"/>
      <c r="AL295" s="112"/>
      <c r="AM295" s="112"/>
      <c r="AN295" s="112"/>
      <c r="AO295" s="112"/>
      <c r="AP295" s="112"/>
      <c r="AQ295" s="112"/>
      <c r="AR295" s="112"/>
      <c r="AS295" s="112"/>
      <c r="AT295" s="112"/>
    </row>
    <row r="296" ht="15.75" customHeight="1">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2"/>
      <c r="AL296" s="112"/>
      <c r="AM296" s="112"/>
      <c r="AN296" s="112"/>
      <c r="AO296" s="112"/>
      <c r="AP296" s="112"/>
      <c r="AQ296" s="112"/>
      <c r="AR296" s="112"/>
      <c r="AS296" s="112"/>
      <c r="AT296" s="112"/>
    </row>
    <row r="297" ht="15.75" customHeight="1">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2"/>
      <c r="AL297" s="112"/>
      <c r="AM297" s="112"/>
      <c r="AN297" s="112"/>
      <c r="AO297" s="112"/>
      <c r="AP297" s="112"/>
      <c r="AQ297" s="112"/>
      <c r="AR297" s="112"/>
      <c r="AS297" s="112"/>
      <c r="AT297" s="112"/>
    </row>
    <row r="298" ht="15.75" customHeight="1">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2"/>
      <c r="AL298" s="112"/>
      <c r="AM298" s="112"/>
      <c r="AN298" s="112"/>
      <c r="AO298" s="112"/>
      <c r="AP298" s="112"/>
      <c r="AQ298" s="112"/>
      <c r="AR298" s="112"/>
      <c r="AS298" s="112"/>
      <c r="AT298" s="112"/>
    </row>
    <row r="299" ht="15.75" customHeight="1">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2"/>
      <c r="AL299" s="112"/>
      <c r="AM299" s="112"/>
      <c r="AN299" s="112"/>
      <c r="AO299" s="112"/>
      <c r="AP299" s="112"/>
      <c r="AQ299" s="112"/>
      <c r="AR299" s="112"/>
      <c r="AS299" s="112"/>
      <c r="AT299" s="112"/>
    </row>
    <row r="300" ht="15.75" customHeight="1">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2"/>
      <c r="AL300" s="112"/>
      <c r="AM300" s="112"/>
      <c r="AN300" s="112"/>
      <c r="AO300" s="112"/>
      <c r="AP300" s="112"/>
      <c r="AQ300" s="112"/>
      <c r="AR300" s="112"/>
      <c r="AS300" s="112"/>
      <c r="AT300" s="112"/>
    </row>
    <row r="301" ht="15.75" customHeight="1">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c r="AH301" s="112"/>
      <c r="AI301" s="112"/>
      <c r="AJ301" s="112"/>
      <c r="AK301" s="112"/>
      <c r="AL301" s="112"/>
      <c r="AM301" s="112"/>
      <c r="AN301" s="112"/>
      <c r="AO301" s="112"/>
      <c r="AP301" s="112"/>
      <c r="AQ301" s="112"/>
      <c r="AR301" s="112"/>
      <c r="AS301" s="112"/>
      <c r="AT301" s="112"/>
    </row>
    <row r="302" ht="15.75" customHeight="1">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c r="AH302" s="112"/>
      <c r="AI302" s="112"/>
      <c r="AJ302" s="112"/>
      <c r="AK302" s="112"/>
      <c r="AL302" s="112"/>
      <c r="AM302" s="112"/>
      <c r="AN302" s="112"/>
      <c r="AO302" s="112"/>
      <c r="AP302" s="112"/>
      <c r="AQ302" s="112"/>
      <c r="AR302" s="112"/>
      <c r="AS302" s="112"/>
      <c r="AT302" s="112"/>
    </row>
    <row r="303" ht="15.75" customHeight="1">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c r="AH303" s="112"/>
      <c r="AI303" s="112"/>
      <c r="AJ303" s="112"/>
      <c r="AK303" s="112"/>
      <c r="AL303" s="112"/>
      <c r="AM303" s="112"/>
      <c r="AN303" s="112"/>
      <c r="AO303" s="112"/>
      <c r="AP303" s="112"/>
      <c r="AQ303" s="112"/>
      <c r="AR303" s="112"/>
      <c r="AS303" s="112"/>
      <c r="AT303" s="112"/>
    </row>
    <row r="304" ht="15.75" customHeight="1">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c r="AH304" s="112"/>
      <c r="AI304" s="112"/>
      <c r="AJ304" s="112"/>
      <c r="AK304" s="112"/>
      <c r="AL304" s="112"/>
      <c r="AM304" s="112"/>
      <c r="AN304" s="112"/>
      <c r="AO304" s="112"/>
      <c r="AP304" s="112"/>
      <c r="AQ304" s="112"/>
      <c r="AR304" s="112"/>
      <c r="AS304" s="112"/>
      <c r="AT304" s="112"/>
    </row>
    <row r="305" ht="15.75" customHeight="1">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c r="AH305" s="112"/>
      <c r="AI305" s="112"/>
      <c r="AJ305" s="112"/>
      <c r="AK305" s="112"/>
      <c r="AL305" s="112"/>
      <c r="AM305" s="112"/>
      <c r="AN305" s="112"/>
      <c r="AO305" s="112"/>
      <c r="AP305" s="112"/>
      <c r="AQ305" s="112"/>
      <c r="AR305" s="112"/>
      <c r="AS305" s="112"/>
      <c r="AT305" s="112"/>
    </row>
    <row r="306" ht="15.75" customHeight="1">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c r="AH306" s="112"/>
      <c r="AI306" s="112"/>
      <c r="AJ306" s="112"/>
      <c r="AK306" s="112"/>
      <c r="AL306" s="112"/>
      <c r="AM306" s="112"/>
      <c r="AN306" s="112"/>
      <c r="AO306" s="112"/>
      <c r="AP306" s="112"/>
      <c r="AQ306" s="112"/>
      <c r="AR306" s="112"/>
      <c r="AS306" s="112"/>
      <c r="AT306" s="112"/>
    </row>
    <row r="307" ht="15.75" customHeight="1">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c r="AH307" s="112"/>
      <c r="AI307" s="112"/>
      <c r="AJ307" s="112"/>
      <c r="AK307" s="112"/>
      <c r="AL307" s="112"/>
      <c r="AM307" s="112"/>
      <c r="AN307" s="112"/>
      <c r="AO307" s="112"/>
      <c r="AP307" s="112"/>
      <c r="AQ307" s="112"/>
      <c r="AR307" s="112"/>
      <c r="AS307" s="112"/>
      <c r="AT307" s="112"/>
    </row>
    <row r="308" ht="15.75" customHeight="1">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c r="AH308" s="112"/>
      <c r="AI308" s="112"/>
      <c r="AJ308" s="112"/>
      <c r="AK308" s="112"/>
      <c r="AL308" s="112"/>
      <c r="AM308" s="112"/>
      <c r="AN308" s="112"/>
      <c r="AO308" s="112"/>
      <c r="AP308" s="112"/>
      <c r="AQ308" s="112"/>
      <c r="AR308" s="112"/>
      <c r="AS308" s="112"/>
      <c r="AT308" s="112"/>
    </row>
    <row r="309" ht="15.75" customHeight="1">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c r="AH309" s="112"/>
      <c r="AI309" s="112"/>
      <c r="AJ309" s="112"/>
      <c r="AK309" s="112"/>
      <c r="AL309" s="112"/>
      <c r="AM309" s="112"/>
      <c r="AN309" s="112"/>
      <c r="AO309" s="112"/>
      <c r="AP309" s="112"/>
      <c r="AQ309" s="112"/>
      <c r="AR309" s="112"/>
      <c r="AS309" s="112"/>
      <c r="AT309" s="112"/>
    </row>
    <row r="310" ht="15.75" customHeight="1">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c r="AH310" s="112"/>
      <c r="AI310" s="112"/>
      <c r="AJ310" s="112"/>
      <c r="AK310" s="112"/>
      <c r="AL310" s="112"/>
      <c r="AM310" s="112"/>
      <c r="AN310" s="112"/>
      <c r="AO310" s="112"/>
      <c r="AP310" s="112"/>
      <c r="AQ310" s="112"/>
      <c r="AR310" s="112"/>
      <c r="AS310" s="112"/>
      <c r="AT310" s="112"/>
    </row>
    <row r="311" ht="15.75" customHeight="1">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c r="AH311" s="112"/>
      <c r="AI311" s="112"/>
      <c r="AJ311" s="112"/>
      <c r="AK311" s="112"/>
      <c r="AL311" s="112"/>
      <c r="AM311" s="112"/>
      <c r="AN311" s="112"/>
      <c r="AO311" s="112"/>
      <c r="AP311" s="112"/>
      <c r="AQ311" s="112"/>
      <c r="AR311" s="112"/>
      <c r="AS311" s="112"/>
      <c r="AT311" s="112"/>
    </row>
    <row r="312" ht="15.75" customHeight="1">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c r="AH312" s="112"/>
      <c r="AI312" s="112"/>
      <c r="AJ312" s="112"/>
      <c r="AK312" s="112"/>
      <c r="AL312" s="112"/>
      <c r="AM312" s="112"/>
      <c r="AN312" s="112"/>
      <c r="AO312" s="112"/>
      <c r="AP312" s="112"/>
      <c r="AQ312" s="112"/>
      <c r="AR312" s="112"/>
      <c r="AS312" s="112"/>
      <c r="AT312" s="112"/>
    </row>
    <row r="313" ht="15.75" customHeight="1">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c r="AH313" s="112"/>
      <c r="AI313" s="112"/>
      <c r="AJ313" s="112"/>
      <c r="AK313" s="112"/>
      <c r="AL313" s="112"/>
      <c r="AM313" s="112"/>
      <c r="AN313" s="112"/>
      <c r="AO313" s="112"/>
      <c r="AP313" s="112"/>
      <c r="AQ313" s="112"/>
      <c r="AR313" s="112"/>
      <c r="AS313" s="112"/>
      <c r="AT313" s="112"/>
    </row>
    <row r="314" ht="15.75" customHeight="1">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row>
    <row r="315" ht="15.75" customHeight="1">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c r="AH315" s="112"/>
      <c r="AI315" s="112"/>
      <c r="AJ315" s="112"/>
      <c r="AK315" s="112"/>
      <c r="AL315" s="112"/>
      <c r="AM315" s="112"/>
      <c r="AN315" s="112"/>
      <c r="AO315" s="112"/>
      <c r="AP315" s="112"/>
      <c r="AQ315" s="112"/>
      <c r="AR315" s="112"/>
      <c r="AS315" s="112"/>
      <c r="AT315" s="112"/>
    </row>
    <row r="316" ht="15.75" customHeight="1">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c r="AH316" s="112"/>
      <c r="AI316" s="112"/>
      <c r="AJ316" s="112"/>
      <c r="AK316" s="112"/>
      <c r="AL316" s="112"/>
      <c r="AM316" s="112"/>
      <c r="AN316" s="112"/>
      <c r="AO316" s="112"/>
      <c r="AP316" s="112"/>
      <c r="AQ316" s="112"/>
      <c r="AR316" s="112"/>
      <c r="AS316" s="112"/>
      <c r="AT316" s="112"/>
    </row>
    <row r="317" ht="15.75" customHeight="1">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c r="AH317" s="112"/>
      <c r="AI317" s="112"/>
      <c r="AJ317" s="112"/>
      <c r="AK317" s="112"/>
      <c r="AL317" s="112"/>
      <c r="AM317" s="112"/>
      <c r="AN317" s="112"/>
      <c r="AO317" s="112"/>
      <c r="AP317" s="112"/>
      <c r="AQ317" s="112"/>
      <c r="AR317" s="112"/>
      <c r="AS317" s="112"/>
      <c r="AT317" s="112"/>
    </row>
    <row r="318" ht="15.75" customHeight="1">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c r="AH318" s="112"/>
      <c r="AI318" s="112"/>
      <c r="AJ318" s="112"/>
      <c r="AK318" s="112"/>
      <c r="AL318" s="112"/>
      <c r="AM318" s="112"/>
      <c r="AN318" s="112"/>
      <c r="AO318" s="112"/>
      <c r="AP318" s="112"/>
      <c r="AQ318" s="112"/>
      <c r="AR318" s="112"/>
      <c r="AS318" s="112"/>
      <c r="AT318" s="112"/>
    </row>
    <row r="319" ht="15.75" customHeight="1">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c r="AH319" s="112"/>
      <c r="AI319" s="112"/>
      <c r="AJ319" s="112"/>
      <c r="AK319" s="112"/>
      <c r="AL319" s="112"/>
      <c r="AM319" s="112"/>
      <c r="AN319" s="112"/>
      <c r="AO319" s="112"/>
      <c r="AP319" s="112"/>
      <c r="AQ319" s="112"/>
      <c r="AR319" s="112"/>
      <c r="AS319" s="112"/>
      <c r="AT319" s="112"/>
    </row>
    <row r="320" ht="15.75" customHeight="1">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112"/>
      <c r="AL320" s="112"/>
      <c r="AM320" s="112"/>
      <c r="AN320" s="112"/>
      <c r="AO320" s="112"/>
      <c r="AP320" s="112"/>
      <c r="AQ320" s="112"/>
      <c r="AR320" s="112"/>
      <c r="AS320" s="112"/>
      <c r="AT320" s="112"/>
    </row>
    <row r="321" ht="15.75" customHeight="1">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c r="AH321" s="112"/>
      <c r="AI321" s="112"/>
      <c r="AJ321" s="112"/>
      <c r="AK321" s="112"/>
      <c r="AL321" s="112"/>
      <c r="AM321" s="112"/>
      <c r="AN321" s="112"/>
      <c r="AO321" s="112"/>
      <c r="AP321" s="112"/>
      <c r="AQ321" s="112"/>
      <c r="AR321" s="112"/>
      <c r="AS321" s="112"/>
      <c r="AT321" s="112"/>
    </row>
    <row r="322" ht="15.75" customHeight="1">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c r="AH322" s="112"/>
      <c r="AI322" s="112"/>
      <c r="AJ322" s="112"/>
      <c r="AK322" s="112"/>
      <c r="AL322" s="112"/>
      <c r="AM322" s="112"/>
      <c r="AN322" s="112"/>
      <c r="AO322" s="112"/>
      <c r="AP322" s="112"/>
      <c r="AQ322" s="112"/>
      <c r="AR322" s="112"/>
      <c r="AS322" s="112"/>
      <c r="AT322" s="112"/>
    </row>
    <row r="323" ht="15.75" customHeight="1">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c r="AH323" s="112"/>
      <c r="AI323" s="112"/>
      <c r="AJ323" s="112"/>
      <c r="AK323" s="112"/>
      <c r="AL323" s="112"/>
      <c r="AM323" s="112"/>
      <c r="AN323" s="112"/>
      <c r="AO323" s="112"/>
      <c r="AP323" s="112"/>
      <c r="AQ323" s="112"/>
      <c r="AR323" s="112"/>
      <c r="AS323" s="112"/>
      <c r="AT323" s="112"/>
    </row>
    <row r="324" ht="15.75" customHeight="1">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c r="AH324" s="112"/>
      <c r="AI324" s="112"/>
      <c r="AJ324" s="112"/>
      <c r="AK324" s="112"/>
      <c r="AL324" s="112"/>
      <c r="AM324" s="112"/>
      <c r="AN324" s="112"/>
      <c r="AO324" s="112"/>
      <c r="AP324" s="112"/>
      <c r="AQ324" s="112"/>
      <c r="AR324" s="112"/>
      <c r="AS324" s="112"/>
      <c r="AT324" s="112"/>
    </row>
    <row r="325" ht="15.75" customHeight="1">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c r="AH325" s="112"/>
      <c r="AI325" s="112"/>
      <c r="AJ325" s="112"/>
      <c r="AK325" s="112"/>
      <c r="AL325" s="112"/>
      <c r="AM325" s="112"/>
      <c r="AN325" s="112"/>
      <c r="AO325" s="112"/>
      <c r="AP325" s="112"/>
      <c r="AQ325" s="112"/>
      <c r="AR325" s="112"/>
      <c r="AS325" s="112"/>
      <c r="AT325" s="112"/>
    </row>
    <row r="326" ht="15.75" customHeight="1">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c r="AH326" s="112"/>
      <c r="AI326" s="112"/>
      <c r="AJ326" s="112"/>
      <c r="AK326" s="112"/>
      <c r="AL326" s="112"/>
      <c r="AM326" s="112"/>
      <c r="AN326" s="112"/>
      <c r="AO326" s="112"/>
      <c r="AP326" s="112"/>
      <c r="AQ326" s="112"/>
      <c r="AR326" s="112"/>
      <c r="AS326" s="112"/>
      <c r="AT326" s="112"/>
    </row>
    <row r="327" ht="15.75" customHeight="1">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c r="AH327" s="112"/>
      <c r="AI327" s="112"/>
      <c r="AJ327" s="112"/>
      <c r="AK327" s="112"/>
      <c r="AL327" s="112"/>
      <c r="AM327" s="112"/>
      <c r="AN327" s="112"/>
      <c r="AO327" s="112"/>
      <c r="AP327" s="112"/>
      <c r="AQ327" s="112"/>
      <c r="AR327" s="112"/>
      <c r="AS327" s="112"/>
      <c r="AT327" s="112"/>
    </row>
    <row r="328" ht="15.75" customHeight="1">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2"/>
      <c r="AJ328" s="112"/>
      <c r="AK328" s="112"/>
      <c r="AL328" s="112"/>
      <c r="AM328" s="112"/>
      <c r="AN328" s="112"/>
      <c r="AO328" s="112"/>
      <c r="AP328" s="112"/>
      <c r="AQ328" s="112"/>
      <c r="AR328" s="112"/>
      <c r="AS328" s="112"/>
      <c r="AT328" s="112"/>
    </row>
    <row r="329" ht="15.75" customHeight="1">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2"/>
      <c r="AJ329" s="112"/>
      <c r="AK329" s="112"/>
      <c r="AL329" s="112"/>
      <c r="AM329" s="112"/>
      <c r="AN329" s="112"/>
      <c r="AO329" s="112"/>
      <c r="AP329" s="112"/>
      <c r="AQ329" s="112"/>
      <c r="AR329" s="112"/>
      <c r="AS329" s="112"/>
      <c r="AT329" s="112"/>
    </row>
    <row r="330" ht="15.75" customHeight="1">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2"/>
      <c r="AJ330" s="112"/>
      <c r="AK330" s="112"/>
      <c r="AL330" s="112"/>
      <c r="AM330" s="112"/>
      <c r="AN330" s="112"/>
      <c r="AO330" s="112"/>
      <c r="AP330" s="112"/>
      <c r="AQ330" s="112"/>
      <c r="AR330" s="112"/>
      <c r="AS330" s="112"/>
      <c r="AT330" s="112"/>
    </row>
    <row r="331" ht="15.75" customHeight="1">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row>
    <row r="332" ht="15.75" customHeight="1">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row>
    <row r="333" ht="15.75" customHeight="1">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row>
    <row r="334" ht="15.75" customHeight="1">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row>
    <row r="335" ht="15.75" customHeight="1">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row>
    <row r="336" ht="15.75" customHeight="1">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row>
    <row r="337" ht="15.75" customHeight="1">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row>
    <row r="338" ht="15.75" customHeight="1">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row>
    <row r="339" ht="15.75" customHeight="1">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row>
    <row r="340" ht="15.75" customHeight="1">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row>
    <row r="341" ht="15.75" customHeight="1">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row>
    <row r="342" ht="15.75" customHeight="1">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row>
    <row r="343" ht="15.75" customHeight="1">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row>
    <row r="344" ht="15.75" customHeight="1">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row>
    <row r="345" ht="15.75" customHeight="1">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row>
    <row r="346" ht="15.75" customHeight="1">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row>
    <row r="347" ht="15.75" customHeight="1">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row>
    <row r="348" ht="15.75" customHeight="1">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row>
    <row r="349" ht="15.75" customHeight="1">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row>
    <row r="350" ht="15.75" customHeight="1">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row>
    <row r="351" ht="15.75" customHeight="1">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row>
    <row r="352" ht="15.75" customHeight="1">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row>
    <row r="353" ht="15.75" customHeight="1">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row>
    <row r="354" ht="15.75" customHeight="1">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row>
    <row r="355" ht="15.75" customHeight="1">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row>
    <row r="356" ht="15.75" customHeight="1">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row>
    <row r="357" ht="15.75" customHeight="1">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row>
    <row r="358" ht="15.75" customHeight="1">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row>
    <row r="359" ht="15.75" customHeight="1">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row>
    <row r="360" ht="15.75" customHeight="1">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row>
    <row r="361" ht="15.75" customHeight="1">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row>
    <row r="362" ht="15.75" customHeight="1">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row>
    <row r="363" ht="15.75" customHeight="1">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row>
    <row r="364" ht="15.75" customHeight="1">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row>
    <row r="365" ht="15.75" customHeight="1">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row>
    <row r="366" ht="15.75" customHeight="1">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row>
    <row r="367" ht="15.75" customHeight="1">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row>
    <row r="368" ht="15.75" customHeight="1">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row>
    <row r="369" ht="15.75" customHeight="1">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row>
    <row r="370" ht="15.75" customHeight="1">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row>
    <row r="371" ht="15.75" customHeight="1">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row>
    <row r="372" ht="15.75" customHeight="1">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row>
    <row r="373" ht="15.75" customHeight="1">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row>
    <row r="374" ht="15.75" customHeight="1">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row>
    <row r="375" ht="15.75" customHeight="1">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row>
    <row r="376" ht="15.75" customHeight="1">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row>
    <row r="377" ht="15.75" customHeight="1">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row>
    <row r="378" ht="15.75" customHeight="1">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row>
    <row r="379" ht="15.75" customHeight="1">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row>
    <row r="380" ht="15.75" customHeight="1">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row>
    <row r="381" ht="15.75" customHeight="1">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row>
    <row r="382" ht="15.75" customHeight="1">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row>
    <row r="383" ht="15.75" customHeight="1">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row>
    <row r="384" ht="15.75" customHeight="1">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row>
    <row r="385" ht="15.75" customHeight="1">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row>
    <row r="386" ht="15.75" customHeight="1">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row>
    <row r="387" ht="15.75" customHeight="1">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row>
    <row r="388" ht="15.75" customHeight="1">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row>
    <row r="389" ht="15.75" customHeight="1">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row>
    <row r="390" ht="15.75" customHeight="1">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row>
    <row r="391" ht="15.75" customHeight="1">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row>
    <row r="392" ht="15.75" customHeight="1">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row>
    <row r="393" ht="15.75" customHeight="1">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row>
    <row r="394" ht="15.75" customHeight="1">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row>
    <row r="395" ht="15.75" customHeight="1">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row>
    <row r="396" ht="15.75" customHeight="1">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row>
    <row r="397" ht="15.75" customHeight="1">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row>
    <row r="398" ht="15.75" customHeight="1">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row>
    <row r="399" ht="15.75" customHeight="1">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row>
    <row r="400" ht="15.75" customHeight="1">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row>
    <row r="401" ht="15.75" customHeight="1">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row>
    <row r="402" ht="15.75" customHeight="1">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row>
    <row r="403" ht="15.75" customHeight="1">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row>
    <row r="404" ht="15.75" customHeight="1">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row>
    <row r="405" ht="15.75" customHeight="1">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row>
    <row r="406" ht="15.75" customHeight="1">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row>
    <row r="407" ht="15.75" customHeight="1">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row>
    <row r="408" ht="15.75" customHeight="1">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row>
    <row r="409" ht="15.75" customHeight="1">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row>
    <row r="410" ht="15.75" customHeight="1">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row>
    <row r="411" ht="15.75" customHeight="1">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row>
    <row r="412" ht="15.75" customHeight="1">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row>
    <row r="413" ht="15.75" customHeight="1">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row>
    <row r="414" ht="15.75" customHeight="1">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row>
    <row r="415" ht="15.75" customHeight="1">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row>
    <row r="416" ht="15.75" customHeight="1">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row>
    <row r="417" ht="15.75" customHeight="1">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row>
    <row r="418" ht="15.75" customHeight="1">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row>
    <row r="419" ht="15.75" customHeight="1">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row>
    <row r="420" ht="15.75" customHeight="1">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row>
    <row r="421" ht="15.75" customHeight="1">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row>
    <row r="422" ht="15.75" customHeight="1">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row>
    <row r="423" ht="15.75" customHeight="1">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row>
    <row r="424" ht="15.75" customHeight="1">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row>
    <row r="425" ht="15.75" customHeight="1">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row>
    <row r="426" ht="15.75" customHeight="1">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row>
    <row r="427" ht="15.75" customHeight="1">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row>
    <row r="428" ht="15.75" customHeight="1">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row>
    <row r="429" ht="15.75" customHeight="1">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row>
    <row r="430" ht="15.75" customHeight="1">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row>
    <row r="431" ht="15.75" customHeight="1">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row>
    <row r="432" ht="15.75" customHeight="1">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row>
    <row r="433" ht="15.75" customHeight="1">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row>
    <row r="434" ht="15.75" customHeight="1">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row>
    <row r="435" ht="15.75" customHeight="1">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row>
    <row r="436" ht="15.75" customHeight="1">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row>
    <row r="437" ht="15.75" customHeight="1">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row>
    <row r="438" ht="15.75" customHeight="1">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row>
    <row r="439" ht="15.75" customHeight="1">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row>
    <row r="440" ht="15.75" customHeight="1">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row>
    <row r="441" ht="15.75" customHeight="1">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row>
    <row r="442" ht="15.75" customHeight="1">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row>
    <row r="443" ht="15.75" customHeight="1">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row>
    <row r="444" ht="15.75" customHeight="1">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row>
    <row r="445" ht="15.75" customHeight="1">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row>
    <row r="446" ht="15.75" customHeight="1">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row>
    <row r="447" ht="15.75" customHeight="1">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row>
    <row r="448" ht="15.75" customHeight="1">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row>
    <row r="449" ht="15.75" customHeight="1">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row>
    <row r="450" ht="15.75" customHeight="1">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row>
    <row r="451" ht="15.75" customHeight="1">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row>
    <row r="452" ht="15.75" customHeight="1">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row>
    <row r="453" ht="15.75" customHeight="1">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row>
    <row r="454" ht="15.75" customHeight="1">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row>
    <row r="455" ht="15.75" customHeight="1">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row>
    <row r="456" ht="15.75" customHeight="1">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row>
    <row r="457" ht="15.75" customHeight="1">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row>
    <row r="458" ht="15.75" customHeight="1">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row>
    <row r="459" ht="15.75" customHeight="1">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row>
    <row r="460" ht="15.75" customHeight="1">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row>
    <row r="461" ht="15.75" customHeight="1">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row>
    <row r="462" ht="15.75" customHeight="1">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row>
    <row r="463" ht="15.75" customHeight="1">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row>
    <row r="464" ht="15.75" customHeight="1">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row>
    <row r="465" ht="15.75" customHeight="1">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row>
    <row r="466" ht="15.75" customHeight="1">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row>
    <row r="467" ht="15.75" customHeight="1">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row>
    <row r="468" ht="15.75" customHeight="1">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row>
    <row r="469" ht="15.75" customHeight="1">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row>
    <row r="470" ht="15.75" customHeight="1">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row>
    <row r="471" ht="15.75" customHeight="1">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row>
    <row r="472" ht="15.75" customHeight="1">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row>
    <row r="473" ht="15.75" customHeight="1">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row>
    <row r="474" ht="15.75" customHeight="1">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row>
    <row r="475" ht="15.75" customHeight="1">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row>
    <row r="476" ht="15.75" customHeight="1">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row>
    <row r="477" ht="15.75" customHeight="1">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row>
    <row r="478" ht="15.75" customHeight="1">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row>
    <row r="479" ht="15.75" customHeight="1">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row>
    <row r="480" ht="15.75" customHeight="1">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row>
    <row r="481" ht="15.75" customHeight="1">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c r="AH481" s="112"/>
      <c r="AI481" s="112"/>
      <c r="AJ481" s="112"/>
      <c r="AK481" s="112"/>
      <c r="AL481" s="112"/>
      <c r="AM481" s="112"/>
      <c r="AN481" s="112"/>
      <c r="AO481" s="112"/>
      <c r="AP481" s="112"/>
      <c r="AQ481" s="112"/>
      <c r="AR481" s="112"/>
      <c r="AS481" s="112"/>
      <c r="AT481" s="112"/>
    </row>
    <row r="482" ht="15.75" customHeight="1">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c r="AH482" s="112"/>
      <c r="AI482" s="112"/>
      <c r="AJ482" s="112"/>
      <c r="AK482" s="112"/>
      <c r="AL482" s="112"/>
      <c r="AM482" s="112"/>
      <c r="AN482" s="112"/>
      <c r="AO482" s="112"/>
      <c r="AP482" s="112"/>
      <c r="AQ482" s="112"/>
      <c r="AR482" s="112"/>
      <c r="AS482" s="112"/>
      <c r="AT482" s="112"/>
    </row>
    <row r="483" ht="15.75" customHeight="1">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c r="AH483" s="112"/>
      <c r="AI483" s="112"/>
      <c r="AJ483" s="112"/>
      <c r="AK483" s="112"/>
      <c r="AL483" s="112"/>
      <c r="AM483" s="112"/>
      <c r="AN483" s="112"/>
      <c r="AO483" s="112"/>
      <c r="AP483" s="112"/>
      <c r="AQ483" s="112"/>
      <c r="AR483" s="112"/>
      <c r="AS483" s="112"/>
      <c r="AT483" s="112"/>
    </row>
    <row r="484" ht="15.75" customHeight="1">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c r="AH484" s="112"/>
      <c r="AI484" s="112"/>
      <c r="AJ484" s="112"/>
      <c r="AK484" s="112"/>
      <c r="AL484" s="112"/>
      <c r="AM484" s="112"/>
      <c r="AN484" s="112"/>
      <c r="AO484" s="112"/>
      <c r="AP484" s="112"/>
      <c r="AQ484" s="112"/>
      <c r="AR484" s="112"/>
      <c r="AS484" s="112"/>
      <c r="AT484" s="112"/>
    </row>
    <row r="485" ht="15.75" customHeight="1">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c r="AH485" s="112"/>
      <c r="AI485" s="112"/>
      <c r="AJ485" s="112"/>
      <c r="AK485" s="112"/>
      <c r="AL485" s="112"/>
      <c r="AM485" s="112"/>
      <c r="AN485" s="112"/>
      <c r="AO485" s="112"/>
      <c r="AP485" s="112"/>
      <c r="AQ485" s="112"/>
      <c r="AR485" s="112"/>
      <c r="AS485" s="112"/>
      <c r="AT485" s="112"/>
    </row>
    <row r="486" ht="15.75" customHeight="1">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c r="AH486" s="112"/>
      <c r="AI486" s="112"/>
      <c r="AJ486" s="112"/>
      <c r="AK486" s="112"/>
      <c r="AL486" s="112"/>
      <c r="AM486" s="112"/>
      <c r="AN486" s="112"/>
      <c r="AO486" s="112"/>
      <c r="AP486" s="112"/>
      <c r="AQ486" s="112"/>
      <c r="AR486" s="112"/>
      <c r="AS486" s="112"/>
      <c r="AT486" s="112"/>
    </row>
    <row r="487" ht="15.75" customHeight="1">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c r="AH487" s="112"/>
      <c r="AI487" s="112"/>
      <c r="AJ487" s="112"/>
      <c r="AK487" s="112"/>
      <c r="AL487" s="112"/>
      <c r="AM487" s="112"/>
      <c r="AN487" s="112"/>
      <c r="AO487" s="112"/>
      <c r="AP487" s="112"/>
      <c r="AQ487" s="112"/>
      <c r="AR487" s="112"/>
      <c r="AS487" s="112"/>
      <c r="AT487" s="112"/>
    </row>
    <row r="488" ht="15.75" customHeight="1">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c r="AH488" s="112"/>
      <c r="AI488" s="112"/>
      <c r="AJ488" s="112"/>
      <c r="AK488" s="112"/>
      <c r="AL488" s="112"/>
      <c r="AM488" s="112"/>
      <c r="AN488" s="112"/>
      <c r="AO488" s="112"/>
      <c r="AP488" s="112"/>
      <c r="AQ488" s="112"/>
      <c r="AR488" s="112"/>
      <c r="AS488" s="112"/>
      <c r="AT488" s="112"/>
    </row>
    <row r="489" ht="15.75" customHeight="1">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c r="AH489" s="112"/>
      <c r="AI489" s="112"/>
      <c r="AJ489" s="112"/>
      <c r="AK489" s="112"/>
      <c r="AL489" s="112"/>
      <c r="AM489" s="112"/>
      <c r="AN489" s="112"/>
      <c r="AO489" s="112"/>
      <c r="AP489" s="112"/>
      <c r="AQ489" s="112"/>
      <c r="AR489" s="112"/>
      <c r="AS489" s="112"/>
      <c r="AT489" s="112"/>
    </row>
    <row r="490" ht="15.75" customHeight="1">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c r="AH490" s="112"/>
      <c r="AI490" s="112"/>
      <c r="AJ490" s="112"/>
      <c r="AK490" s="112"/>
      <c r="AL490" s="112"/>
      <c r="AM490" s="112"/>
      <c r="AN490" s="112"/>
      <c r="AO490" s="112"/>
      <c r="AP490" s="112"/>
      <c r="AQ490" s="112"/>
      <c r="AR490" s="112"/>
      <c r="AS490" s="112"/>
      <c r="AT490" s="112"/>
    </row>
    <row r="491" ht="15.75" customHeight="1">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c r="AH491" s="112"/>
      <c r="AI491" s="112"/>
      <c r="AJ491" s="112"/>
      <c r="AK491" s="112"/>
      <c r="AL491" s="112"/>
      <c r="AM491" s="112"/>
      <c r="AN491" s="112"/>
      <c r="AO491" s="112"/>
      <c r="AP491" s="112"/>
      <c r="AQ491" s="112"/>
      <c r="AR491" s="112"/>
      <c r="AS491" s="112"/>
      <c r="AT491" s="112"/>
    </row>
    <row r="492" ht="15.75" customHeight="1">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c r="AH492" s="112"/>
      <c r="AI492" s="112"/>
      <c r="AJ492" s="112"/>
      <c r="AK492" s="112"/>
      <c r="AL492" s="112"/>
      <c r="AM492" s="112"/>
      <c r="AN492" s="112"/>
      <c r="AO492" s="112"/>
      <c r="AP492" s="112"/>
      <c r="AQ492" s="112"/>
      <c r="AR492" s="112"/>
      <c r="AS492" s="112"/>
      <c r="AT492" s="112"/>
    </row>
    <row r="493" ht="15.75" customHeight="1">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c r="AH493" s="112"/>
      <c r="AI493" s="112"/>
      <c r="AJ493" s="112"/>
      <c r="AK493" s="112"/>
      <c r="AL493" s="112"/>
      <c r="AM493" s="112"/>
      <c r="AN493" s="112"/>
      <c r="AO493" s="112"/>
      <c r="AP493" s="112"/>
      <c r="AQ493" s="112"/>
      <c r="AR493" s="112"/>
      <c r="AS493" s="112"/>
      <c r="AT493" s="112"/>
    </row>
    <row r="494" ht="15.75" customHeight="1">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c r="AH494" s="112"/>
      <c r="AI494" s="112"/>
      <c r="AJ494" s="112"/>
      <c r="AK494" s="112"/>
      <c r="AL494" s="112"/>
      <c r="AM494" s="112"/>
      <c r="AN494" s="112"/>
      <c r="AO494" s="112"/>
      <c r="AP494" s="112"/>
      <c r="AQ494" s="112"/>
      <c r="AR494" s="112"/>
      <c r="AS494" s="112"/>
      <c r="AT494" s="112"/>
    </row>
    <row r="495" ht="15.75" customHeight="1">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c r="AH495" s="112"/>
      <c r="AI495" s="112"/>
      <c r="AJ495" s="112"/>
      <c r="AK495" s="112"/>
      <c r="AL495" s="112"/>
      <c r="AM495" s="112"/>
      <c r="AN495" s="112"/>
      <c r="AO495" s="112"/>
      <c r="AP495" s="112"/>
      <c r="AQ495" s="112"/>
      <c r="AR495" s="112"/>
      <c r="AS495" s="112"/>
      <c r="AT495" s="112"/>
    </row>
    <row r="496" ht="15.75" customHeight="1">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c r="AH496" s="112"/>
      <c r="AI496" s="112"/>
      <c r="AJ496" s="112"/>
      <c r="AK496" s="112"/>
      <c r="AL496" s="112"/>
      <c r="AM496" s="112"/>
      <c r="AN496" s="112"/>
      <c r="AO496" s="112"/>
      <c r="AP496" s="112"/>
      <c r="AQ496" s="112"/>
      <c r="AR496" s="112"/>
      <c r="AS496" s="112"/>
      <c r="AT496" s="112"/>
    </row>
    <row r="497" ht="15.75" customHeight="1">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c r="AH497" s="112"/>
      <c r="AI497" s="112"/>
      <c r="AJ497" s="112"/>
      <c r="AK497" s="112"/>
      <c r="AL497" s="112"/>
      <c r="AM497" s="112"/>
      <c r="AN497" s="112"/>
      <c r="AO497" s="112"/>
      <c r="AP497" s="112"/>
      <c r="AQ497" s="112"/>
      <c r="AR497" s="112"/>
      <c r="AS497" s="112"/>
      <c r="AT497" s="112"/>
    </row>
    <row r="498" ht="15.75" customHeight="1">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c r="AH498" s="112"/>
      <c r="AI498" s="112"/>
      <c r="AJ498" s="112"/>
      <c r="AK498" s="112"/>
      <c r="AL498" s="112"/>
      <c r="AM498" s="112"/>
      <c r="AN498" s="112"/>
      <c r="AO498" s="112"/>
      <c r="AP498" s="112"/>
      <c r="AQ498" s="112"/>
      <c r="AR498" s="112"/>
      <c r="AS498" s="112"/>
      <c r="AT498" s="112"/>
    </row>
    <row r="499" ht="15.75" customHeight="1">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c r="AH499" s="112"/>
      <c r="AI499" s="112"/>
      <c r="AJ499" s="112"/>
      <c r="AK499" s="112"/>
      <c r="AL499" s="112"/>
      <c r="AM499" s="112"/>
      <c r="AN499" s="112"/>
      <c r="AO499" s="112"/>
      <c r="AP499" s="112"/>
      <c r="AQ499" s="112"/>
      <c r="AR499" s="112"/>
      <c r="AS499" s="112"/>
      <c r="AT499" s="112"/>
    </row>
    <row r="500" ht="15.75" customHeight="1">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c r="AH500" s="112"/>
      <c r="AI500" s="112"/>
      <c r="AJ500" s="112"/>
      <c r="AK500" s="112"/>
      <c r="AL500" s="112"/>
      <c r="AM500" s="112"/>
      <c r="AN500" s="112"/>
      <c r="AO500" s="112"/>
      <c r="AP500" s="112"/>
      <c r="AQ500" s="112"/>
      <c r="AR500" s="112"/>
      <c r="AS500" s="112"/>
      <c r="AT500" s="112"/>
    </row>
    <row r="501" ht="15.75" customHeight="1">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c r="AH501" s="112"/>
      <c r="AI501" s="112"/>
      <c r="AJ501" s="112"/>
      <c r="AK501" s="112"/>
      <c r="AL501" s="112"/>
      <c r="AM501" s="112"/>
      <c r="AN501" s="112"/>
      <c r="AO501" s="112"/>
      <c r="AP501" s="112"/>
      <c r="AQ501" s="112"/>
      <c r="AR501" s="112"/>
      <c r="AS501" s="112"/>
      <c r="AT501" s="112"/>
    </row>
    <row r="502" ht="15.75" customHeight="1">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c r="AH502" s="112"/>
      <c r="AI502" s="112"/>
      <c r="AJ502" s="112"/>
      <c r="AK502" s="112"/>
      <c r="AL502" s="112"/>
      <c r="AM502" s="112"/>
      <c r="AN502" s="112"/>
      <c r="AO502" s="112"/>
      <c r="AP502" s="112"/>
      <c r="AQ502" s="112"/>
      <c r="AR502" s="112"/>
      <c r="AS502" s="112"/>
      <c r="AT502" s="112"/>
    </row>
    <row r="503" ht="15.75" customHeight="1">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c r="AH503" s="112"/>
      <c r="AI503" s="112"/>
      <c r="AJ503" s="112"/>
      <c r="AK503" s="112"/>
      <c r="AL503" s="112"/>
      <c r="AM503" s="112"/>
      <c r="AN503" s="112"/>
      <c r="AO503" s="112"/>
      <c r="AP503" s="112"/>
      <c r="AQ503" s="112"/>
      <c r="AR503" s="112"/>
      <c r="AS503" s="112"/>
      <c r="AT503" s="112"/>
    </row>
    <row r="504" ht="15.75" customHeight="1">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c r="AH504" s="112"/>
      <c r="AI504" s="112"/>
      <c r="AJ504" s="112"/>
      <c r="AK504" s="112"/>
      <c r="AL504" s="112"/>
      <c r="AM504" s="112"/>
      <c r="AN504" s="112"/>
      <c r="AO504" s="112"/>
      <c r="AP504" s="112"/>
      <c r="AQ504" s="112"/>
      <c r="AR504" s="112"/>
      <c r="AS504" s="112"/>
      <c r="AT504" s="112"/>
    </row>
    <row r="505" ht="15.75" customHeight="1">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c r="AH505" s="112"/>
      <c r="AI505" s="112"/>
      <c r="AJ505" s="112"/>
      <c r="AK505" s="112"/>
      <c r="AL505" s="112"/>
      <c r="AM505" s="112"/>
      <c r="AN505" s="112"/>
      <c r="AO505" s="112"/>
      <c r="AP505" s="112"/>
      <c r="AQ505" s="112"/>
      <c r="AR505" s="112"/>
      <c r="AS505" s="112"/>
      <c r="AT505" s="112"/>
    </row>
    <row r="506" ht="15.75" customHeight="1">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c r="AH506" s="112"/>
      <c r="AI506" s="112"/>
      <c r="AJ506" s="112"/>
      <c r="AK506" s="112"/>
      <c r="AL506" s="112"/>
      <c r="AM506" s="112"/>
      <c r="AN506" s="112"/>
      <c r="AO506" s="112"/>
      <c r="AP506" s="112"/>
      <c r="AQ506" s="112"/>
      <c r="AR506" s="112"/>
      <c r="AS506" s="112"/>
      <c r="AT506" s="112"/>
    </row>
    <row r="507" ht="15.75" customHeight="1">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c r="AH507" s="112"/>
      <c r="AI507" s="112"/>
      <c r="AJ507" s="112"/>
      <c r="AK507" s="112"/>
      <c r="AL507" s="112"/>
      <c r="AM507" s="112"/>
      <c r="AN507" s="112"/>
      <c r="AO507" s="112"/>
      <c r="AP507" s="112"/>
      <c r="AQ507" s="112"/>
      <c r="AR507" s="112"/>
      <c r="AS507" s="112"/>
      <c r="AT507" s="112"/>
    </row>
    <row r="508" ht="15.75" customHeight="1">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c r="AH508" s="112"/>
      <c r="AI508" s="112"/>
      <c r="AJ508" s="112"/>
      <c r="AK508" s="112"/>
      <c r="AL508" s="112"/>
      <c r="AM508" s="112"/>
      <c r="AN508" s="112"/>
      <c r="AO508" s="112"/>
      <c r="AP508" s="112"/>
      <c r="AQ508" s="112"/>
      <c r="AR508" s="112"/>
      <c r="AS508" s="112"/>
      <c r="AT508" s="112"/>
    </row>
    <row r="509" ht="15.75" customHeight="1">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c r="AH509" s="112"/>
      <c r="AI509" s="112"/>
      <c r="AJ509" s="112"/>
      <c r="AK509" s="112"/>
      <c r="AL509" s="112"/>
      <c r="AM509" s="112"/>
      <c r="AN509" s="112"/>
      <c r="AO509" s="112"/>
      <c r="AP509" s="112"/>
      <c r="AQ509" s="112"/>
      <c r="AR509" s="112"/>
      <c r="AS509" s="112"/>
      <c r="AT509" s="112"/>
    </row>
    <row r="510" ht="15.75" customHeight="1">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c r="AH510" s="112"/>
      <c r="AI510" s="112"/>
      <c r="AJ510" s="112"/>
      <c r="AK510" s="112"/>
      <c r="AL510" s="112"/>
      <c r="AM510" s="112"/>
      <c r="AN510" s="112"/>
      <c r="AO510" s="112"/>
      <c r="AP510" s="112"/>
      <c r="AQ510" s="112"/>
      <c r="AR510" s="112"/>
      <c r="AS510" s="112"/>
      <c r="AT510" s="112"/>
    </row>
    <row r="511" ht="15.75" customHeight="1">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row>
    <row r="512" ht="15.75" customHeight="1">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c r="AH512" s="112"/>
      <c r="AI512" s="112"/>
      <c r="AJ512" s="112"/>
      <c r="AK512" s="112"/>
      <c r="AL512" s="112"/>
      <c r="AM512" s="112"/>
      <c r="AN512" s="112"/>
      <c r="AO512" s="112"/>
      <c r="AP512" s="112"/>
      <c r="AQ512" s="112"/>
      <c r="AR512" s="112"/>
      <c r="AS512" s="112"/>
      <c r="AT512" s="112"/>
    </row>
    <row r="513" ht="15.75" customHeight="1">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c r="AH513" s="112"/>
      <c r="AI513" s="112"/>
      <c r="AJ513" s="112"/>
      <c r="AK513" s="112"/>
      <c r="AL513" s="112"/>
      <c r="AM513" s="112"/>
      <c r="AN513" s="112"/>
      <c r="AO513" s="112"/>
      <c r="AP513" s="112"/>
      <c r="AQ513" s="112"/>
      <c r="AR513" s="112"/>
      <c r="AS513" s="112"/>
      <c r="AT513" s="112"/>
    </row>
    <row r="514" ht="15.75" customHeight="1">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c r="AH514" s="112"/>
      <c r="AI514" s="112"/>
      <c r="AJ514" s="112"/>
      <c r="AK514" s="112"/>
      <c r="AL514" s="112"/>
      <c r="AM514" s="112"/>
      <c r="AN514" s="112"/>
      <c r="AO514" s="112"/>
      <c r="AP514" s="112"/>
      <c r="AQ514" s="112"/>
      <c r="AR514" s="112"/>
      <c r="AS514" s="112"/>
      <c r="AT514" s="112"/>
    </row>
    <row r="515" ht="15.75" customHeight="1">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c r="AH515" s="112"/>
      <c r="AI515" s="112"/>
      <c r="AJ515" s="112"/>
      <c r="AK515" s="112"/>
      <c r="AL515" s="112"/>
      <c r="AM515" s="112"/>
      <c r="AN515" s="112"/>
      <c r="AO515" s="112"/>
      <c r="AP515" s="112"/>
      <c r="AQ515" s="112"/>
      <c r="AR515" s="112"/>
      <c r="AS515" s="112"/>
      <c r="AT515" s="112"/>
    </row>
    <row r="516" ht="15.75" customHeight="1">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c r="AH516" s="112"/>
      <c r="AI516" s="112"/>
      <c r="AJ516" s="112"/>
      <c r="AK516" s="112"/>
      <c r="AL516" s="112"/>
      <c r="AM516" s="112"/>
      <c r="AN516" s="112"/>
      <c r="AO516" s="112"/>
      <c r="AP516" s="112"/>
      <c r="AQ516" s="112"/>
      <c r="AR516" s="112"/>
      <c r="AS516" s="112"/>
      <c r="AT516" s="112"/>
    </row>
    <row r="517" ht="15.75" customHeight="1">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c r="AH517" s="112"/>
      <c r="AI517" s="112"/>
      <c r="AJ517" s="112"/>
      <c r="AK517" s="112"/>
      <c r="AL517" s="112"/>
      <c r="AM517" s="112"/>
      <c r="AN517" s="112"/>
      <c r="AO517" s="112"/>
      <c r="AP517" s="112"/>
      <c r="AQ517" s="112"/>
      <c r="AR517" s="112"/>
      <c r="AS517" s="112"/>
      <c r="AT517" s="112"/>
    </row>
    <row r="518" ht="15.75" customHeight="1">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c r="AH518" s="112"/>
      <c r="AI518" s="112"/>
      <c r="AJ518" s="112"/>
      <c r="AK518" s="112"/>
      <c r="AL518" s="112"/>
      <c r="AM518" s="112"/>
      <c r="AN518" s="112"/>
      <c r="AO518" s="112"/>
      <c r="AP518" s="112"/>
      <c r="AQ518" s="112"/>
      <c r="AR518" s="112"/>
      <c r="AS518" s="112"/>
      <c r="AT518" s="112"/>
    </row>
    <row r="519" ht="15.75" customHeight="1">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c r="AH519" s="112"/>
      <c r="AI519" s="112"/>
      <c r="AJ519" s="112"/>
      <c r="AK519" s="112"/>
      <c r="AL519" s="112"/>
      <c r="AM519" s="112"/>
      <c r="AN519" s="112"/>
      <c r="AO519" s="112"/>
      <c r="AP519" s="112"/>
      <c r="AQ519" s="112"/>
      <c r="AR519" s="112"/>
      <c r="AS519" s="112"/>
      <c r="AT519" s="112"/>
    </row>
    <row r="520" ht="15.75" customHeight="1">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c r="AH520" s="112"/>
      <c r="AI520" s="112"/>
      <c r="AJ520" s="112"/>
      <c r="AK520" s="112"/>
      <c r="AL520" s="112"/>
      <c r="AM520" s="112"/>
      <c r="AN520" s="112"/>
      <c r="AO520" s="112"/>
      <c r="AP520" s="112"/>
      <c r="AQ520" s="112"/>
      <c r="AR520" s="112"/>
      <c r="AS520" s="112"/>
      <c r="AT520" s="112"/>
    </row>
    <row r="521" ht="15.75" customHeight="1">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c r="AH521" s="112"/>
      <c r="AI521" s="112"/>
      <c r="AJ521" s="112"/>
      <c r="AK521" s="112"/>
      <c r="AL521" s="112"/>
      <c r="AM521" s="112"/>
      <c r="AN521" s="112"/>
      <c r="AO521" s="112"/>
      <c r="AP521" s="112"/>
      <c r="AQ521" s="112"/>
      <c r="AR521" s="112"/>
      <c r="AS521" s="112"/>
      <c r="AT521" s="112"/>
    </row>
    <row r="522" ht="15.75" customHeight="1">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c r="AH522" s="112"/>
      <c r="AI522" s="112"/>
      <c r="AJ522" s="112"/>
      <c r="AK522" s="112"/>
      <c r="AL522" s="112"/>
      <c r="AM522" s="112"/>
      <c r="AN522" s="112"/>
      <c r="AO522" s="112"/>
      <c r="AP522" s="112"/>
      <c r="AQ522" s="112"/>
      <c r="AR522" s="112"/>
      <c r="AS522" s="112"/>
      <c r="AT522" s="112"/>
    </row>
    <row r="523" ht="15.75" customHeight="1">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c r="AH523" s="112"/>
      <c r="AI523" s="112"/>
      <c r="AJ523" s="112"/>
      <c r="AK523" s="112"/>
      <c r="AL523" s="112"/>
      <c r="AM523" s="112"/>
      <c r="AN523" s="112"/>
      <c r="AO523" s="112"/>
      <c r="AP523" s="112"/>
      <c r="AQ523" s="112"/>
      <c r="AR523" s="112"/>
      <c r="AS523" s="112"/>
      <c r="AT523" s="112"/>
    </row>
    <row r="524" ht="15.75" customHeight="1">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c r="AH524" s="112"/>
      <c r="AI524" s="112"/>
      <c r="AJ524" s="112"/>
      <c r="AK524" s="112"/>
      <c r="AL524" s="112"/>
      <c r="AM524" s="112"/>
      <c r="AN524" s="112"/>
      <c r="AO524" s="112"/>
      <c r="AP524" s="112"/>
      <c r="AQ524" s="112"/>
      <c r="AR524" s="112"/>
      <c r="AS524" s="112"/>
      <c r="AT524" s="112"/>
    </row>
    <row r="525" ht="15.75" customHeight="1">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c r="AH525" s="112"/>
      <c r="AI525" s="112"/>
      <c r="AJ525" s="112"/>
      <c r="AK525" s="112"/>
      <c r="AL525" s="112"/>
      <c r="AM525" s="112"/>
      <c r="AN525" s="112"/>
      <c r="AO525" s="112"/>
      <c r="AP525" s="112"/>
      <c r="AQ525" s="112"/>
      <c r="AR525" s="112"/>
      <c r="AS525" s="112"/>
      <c r="AT525" s="112"/>
    </row>
    <row r="526" ht="15.75" customHeight="1">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c r="AH526" s="112"/>
      <c r="AI526" s="112"/>
      <c r="AJ526" s="112"/>
      <c r="AK526" s="112"/>
      <c r="AL526" s="112"/>
      <c r="AM526" s="112"/>
      <c r="AN526" s="112"/>
      <c r="AO526" s="112"/>
      <c r="AP526" s="112"/>
      <c r="AQ526" s="112"/>
      <c r="AR526" s="112"/>
      <c r="AS526" s="112"/>
      <c r="AT526" s="112"/>
    </row>
    <row r="527" ht="15.75" customHeight="1">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c r="AH527" s="112"/>
      <c r="AI527" s="112"/>
      <c r="AJ527" s="112"/>
      <c r="AK527" s="112"/>
      <c r="AL527" s="112"/>
      <c r="AM527" s="112"/>
      <c r="AN527" s="112"/>
      <c r="AO527" s="112"/>
      <c r="AP527" s="112"/>
      <c r="AQ527" s="112"/>
      <c r="AR527" s="112"/>
      <c r="AS527" s="112"/>
      <c r="AT527" s="112"/>
    </row>
    <row r="528" ht="15.75" customHeight="1">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c r="AH528" s="112"/>
      <c r="AI528" s="112"/>
      <c r="AJ528" s="112"/>
      <c r="AK528" s="112"/>
      <c r="AL528" s="112"/>
      <c r="AM528" s="112"/>
      <c r="AN528" s="112"/>
      <c r="AO528" s="112"/>
      <c r="AP528" s="112"/>
      <c r="AQ528" s="112"/>
      <c r="AR528" s="112"/>
      <c r="AS528" s="112"/>
      <c r="AT528" s="112"/>
    </row>
    <row r="529" ht="15.75" customHeight="1">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c r="AH529" s="112"/>
      <c r="AI529" s="112"/>
      <c r="AJ529" s="112"/>
      <c r="AK529" s="112"/>
      <c r="AL529" s="112"/>
      <c r="AM529" s="112"/>
      <c r="AN529" s="112"/>
      <c r="AO529" s="112"/>
      <c r="AP529" s="112"/>
      <c r="AQ529" s="112"/>
      <c r="AR529" s="112"/>
      <c r="AS529" s="112"/>
      <c r="AT529" s="112"/>
    </row>
    <row r="530" ht="15.75" customHeight="1">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c r="AH530" s="112"/>
      <c r="AI530" s="112"/>
      <c r="AJ530" s="112"/>
      <c r="AK530" s="112"/>
      <c r="AL530" s="112"/>
      <c r="AM530" s="112"/>
      <c r="AN530" s="112"/>
      <c r="AO530" s="112"/>
      <c r="AP530" s="112"/>
      <c r="AQ530" s="112"/>
      <c r="AR530" s="112"/>
      <c r="AS530" s="112"/>
      <c r="AT530" s="112"/>
    </row>
    <row r="531" ht="15.75" customHeight="1">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c r="AH531" s="112"/>
      <c r="AI531" s="112"/>
      <c r="AJ531" s="112"/>
      <c r="AK531" s="112"/>
      <c r="AL531" s="112"/>
      <c r="AM531" s="112"/>
      <c r="AN531" s="112"/>
      <c r="AO531" s="112"/>
      <c r="AP531" s="112"/>
      <c r="AQ531" s="112"/>
      <c r="AR531" s="112"/>
      <c r="AS531" s="112"/>
      <c r="AT531" s="112"/>
    </row>
    <row r="532" ht="15.75" customHeight="1">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c r="AH532" s="112"/>
      <c r="AI532" s="112"/>
      <c r="AJ532" s="112"/>
      <c r="AK532" s="112"/>
      <c r="AL532" s="112"/>
      <c r="AM532" s="112"/>
      <c r="AN532" s="112"/>
      <c r="AO532" s="112"/>
      <c r="AP532" s="112"/>
      <c r="AQ532" s="112"/>
      <c r="AR532" s="112"/>
      <c r="AS532" s="112"/>
      <c r="AT532" s="112"/>
    </row>
    <row r="533" ht="15.75" customHeight="1">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c r="AH533" s="112"/>
      <c r="AI533" s="112"/>
      <c r="AJ533" s="112"/>
      <c r="AK533" s="112"/>
      <c r="AL533" s="112"/>
      <c r="AM533" s="112"/>
      <c r="AN533" s="112"/>
      <c r="AO533" s="112"/>
      <c r="AP533" s="112"/>
      <c r="AQ533" s="112"/>
      <c r="AR533" s="112"/>
      <c r="AS533" s="112"/>
      <c r="AT533" s="112"/>
    </row>
    <row r="534" ht="15.75" customHeight="1">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c r="AH534" s="112"/>
      <c r="AI534" s="112"/>
      <c r="AJ534" s="112"/>
      <c r="AK534" s="112"/>
      <c r="AL534" s="112"/>
      <c r="AM534" s="112"/>
      <c r="AN534" s="112"/>
      <c r="AO534" s="112"/>
      <c r="AP534" s="112"/>
      <c r="AQ534" s="112"/>
      <c r="AR534" s="112"/>
      <c r="AS534" s="112"/>
      <c r="AT534" s="112"/>
    </row>
    <row r="535" ht="15.75" customHeight="1">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c r="AH535" s="112"/>
      <c r="AI535" s="112"/>
      <c r="AJ535" s="112"/>
      <c r="AK535" s="112"/>
      <c r="AL535" s="112"/>
      <c r="AM535" s="112"/>
      <c r="AN535" s="112"/>
      <c r="AO535" s="112"/>
      <c r="AP535" s="112"/>
      <c r="AQ535" s="112"/>
      <c r="AR535" s="112"/>
      <c r="AS535" s="112"/>
      <c r="AT535" s="112"/>
    </row>
    <row r="536" ht="15.75" customHeight="1">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c r="AH536" s="112"/>
      <c r="AI536" s="112"/>
      <c r="AJ536" s="112"/>
      <c r="AK536" s="112"/>
      <c r="AL536" s="112"/>
      <c r="AM536" s="112"/>
      <c r="AN536" s="112"/>
      <c r="AO536" s="112"/>
      <c r="AP536" s="112"/>
      <c r="AQ536" s="112"/>
      <c r="AR536" s="112"/>
      <c r="AS536" s="112"/>
      <c r="AT536" s="112"/>
    </row>
    <row r="537" ht="15.75" customHeight="1">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c r="AH537" s="112"/>
      <c r="AI537" s="112"/>
      <c r="AJ537" s="112"/>
      <c r="AK537" s="112"/>
      <c r="AL537" s="112"/>
      <c r="AM537" s="112"/>
      <c r="AN537" s="112"/>
      <c r="AO537" s="112"/>
      <c r="AP537" s="112"/>
      <c r="AQ537" s="112"/>
      <c r="AR537" s="112"/>
      <c r="AS537" s="112"/>
      <c r="AT537" s="112"/>
    </row>
    <row r="538" ht="15.75" customHeight="1">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c r="AH538" s="112"/>
      <c r="AI538" s="112"/>
      <c r="AJ538" s="112"/>
      <c r="AK538" s="112"/>
      <c r="AL538" s="112"/>
      <c r="AM538" s="112"/>
      <c r="AN538" s="112"/>
      <c r="AO538" s="112"/>
      <c r="AP538" s="112"/>
      <c r="AQ538" s="112"/>
      <c r="AR538" s="112"/>
      <c r="AS538" s="112"/>
      <c r="AT538" s="112"/>
    </row>
    <row r="539" ht="15.75" customHeight="1">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c r="AH539" s="112"/>
      <c r="AI539" s="112"/>
      <c r="AJ539" s="112"/>
      <c r="AK539" s="112"/>
      <c r="AL539" s="112"/>
      <c r="AM539" s="112"/>
      <c r="AN539" s="112"/>
      <c r="AO539" s="112"/>
      <c r="AP539" s="112"/>
      <c r="AQ539" s="112"/>
      <c r="AR539" s="112"/>
      <c r="AS539" s="112"/>
      <c r="AT539" s="112"/>
    </row>
    <row r="540" ht="15.75" customHeight="1">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c r="AH540" s="112"/>
      <c r="AI540" s="112"/>
      <c r="AJ540" s="112"/>
      <c r="AK540" s="112"/>
      <c r="AL540" s="112"/>
      <c r="AM540" s="112"/>
      <c r="AN540" s="112"/>
      <c r="AO540" s="112"/>
      <c r="AP540" s="112"/>
      <c r="AQ540" s="112"/>
      <c r="AR540" s="112"/>
      <c r="AS540" s="112"/>
      <c r="AT540" s="112"/>
    </row>
    <row r="541" ht="15.75" customHeight="1">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c r="AH541" s="112"/>
      <c r="AI541" s="112"/>
      <c r="AJ541" s="112"/>
      <c r="AK541" s="112"/>
      <c r="AL541" s="112"/>
      <c r="AM541" s="112"/>
      <c r="AN541" s="112"/>
      <c r="AO541" s="112"/>
      <c r="AP541" s="112"/>
      <c r="AQ541" s="112"/>
      <c r="AR541" s="112"/>
      <c r="AS541" s="112"/>
      <c r="AT541" s="112"/>
    </row>
    <row r="542" ht="15.75" customHeight="1">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c r="AH542" s="112"/>
      <c r="AI542" s="112"/>
      <c r="AJ542" s="112"/>
      <c r="AK542" s="112"/>
      <c r="AL542" s="112"/>
      <c r="AM542" s="112"/>
      <c r="AN542" s="112"/>
      <c r="AO542" s="112"/>
      <c r="AP542" s="112"/>
      <c r="AQ542" s="112"/>
      <c r="AR542" s="112"/>
      <c r="AS542" s="112"/>
      <c r="AT542" s="112"/>
    </row>
    <row r="543" ht="15.75" customHeight="1">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c r="AH543" s="112"/>
      <c r="AI543" s="112"/>
      <c r="AJ543" s="112"/>
      <c r="AK543" s="112"/>
      <c r="AL543" s="112"/>
      <c r="AM543" s="112"/>
      <c r="AN543" s="112"/>
      <c r="AO543" s="112"/>
      <c r="AP543" s="112"/>
      <c r="AQ543" s="112"/>
      <c r="AR543" s="112"/>
      <c r="AS543" s="112"/>
      <c r="AT543" s="112"/>
    </row>
    <row r="544" ht="15.75" customHeight="1">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c r="AH544" s="112"/>
      <c r="AI544" s="112"/>
      <c r="AJ544" s="112"/>
      <c r="AK544" s="112"/>
      <c r="AL544" s="112"/>
      <c r="AM544" s="112"/>
      <c r="AN544" s="112"/>
      <c r="AO544" s="112"/>
      <c r="AP544" s="112"/>
      <c r="AQ544" s="112"/>
      <c r="AR544" s="112"/>
      <c r="AS544" s="112"/>
      <c r="AT544" s="112"/>
    </row>
    <row r="545" ht="15.75" customHeight="1">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c r="AH545" s="112"/>
      <c r="AI545" s="112"/>
      <c r="AJ545" s="112"/>
      <c r="AK545" s="112"/>
      <c r="AL545" s="112"/>
      <c r="AM545" s="112"/>
      <c r="AN545" s="112"/>
      <c r="AO545" s="112"/>
      <c r="AP545" s="112"/>
      <c r="AQ545" s="112"/>
      <c r="AR545" s="112"/>
      <c r="AS545" s="112"/>
      <c r="AT545" s="112"/>
    </row>
    <row r="546" ht="15.75" customHeight="1">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c r="AH546" s="112"/>
      <c r="AI546" s="112"/>
      <c r="AJ546" s="112"/>
      <c r="AK546" s="112"/>
      <c r="AL546" s="112"/>
      <c r="AM546" s="112"/>
      <c r="AN546" s="112"/>
      <c r="AO546" s="112"/>
      <c r="AP546" s="112"/>
      <c r="AQ546" s="112"/>
      <c r="AR546" s="112"/>
      <c r="AS546" s="112"/>
      <c r="AT546" s="112"/>
    </row>
    <row r="547" ht="15.75" customHeight="1">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c r="AH547" s="112"/>
      <c r="AI547" s="112"/>
      <c r="AJ547" s="112"/>
      <c r="AK547" s="112"/>
      <c r="AL547" s="112"/>
      <c r="AM547" s="112"/>
      <c r="AN547" s="112"/>
      <c r="AO547" s="112"/>
      <c r="AP547" s="112"/>
      <c r="AQ547" s="112"/>
      <c r="AR547" s="112"/>
      <c r="AS547" s="112"/>
      <c r="AT547" s="112"/>
    </row>
    <row r="548" ht="15.75" customHeight="1">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c r="AH548" s="112"/>
      <c r="AI548" s="112"/>
      <c r="AJ548" s="112"/>
      <c r="AK548" s="112"/>
      <c r="AL548" s="112"/>
      <c r="AM548" s="112"/>
      <c r="AN548" s="112"/>
      <c r="AO548" s="112"/>
      <c r="AP548" s="112"/>
      <c r="AQ548" s="112"/>
      <c r="AR548" s="112"/>
      <c r="AS548" s="112"/>
      <c r="AT548" s="112"/>
    </row>
    <row r="549" ht="15.75" customHeight="1">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c r="AH549" s="112"/>
      <c r="AI549" s="112"/>
      <c r="AJ549" s="112"/>
      <c r="AK549" s="112"/>
      <c r="AL549" s="112"/>
      <c r="AM549" s="112"/>
      <c r="AN549" s="112"/>
      <c r="AO549" s="112"/>
      <c r="AP549" s="112"/>
      <c r="AQ549" s="112"/>
      <c r="AR549" s="112"/>
      <c r="AS549" s="112"/>
      <c r="AT549" s="112"/>
    </row>
    <row r="550" ht="15.75" customHeight="1">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c r="AH550" s="112"/>
      <c r="AI550" s="112"/>
      <c r="AJ550" s="112"/>
      <c r="AK550" s="112"/>
      <c r="AL550" s="112"/>
      <c r="AM550" s="112"/>
      <c r="AN550" s="112"/>
      <c r="AO550" s="112"/>
      <c r="AP550" s="112"/>
      <c r="AQ550" s="112"/>
      <c r="AR550" s="112"/>
      <c r="AS550" s="112"/>
      <c r="AT550" s="112"/>
    </row>
    <row r="551" ht="15.75" customHeight="1">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c r="AH551" s="112"/>
      <c r="AI551" s="112"/>
      <c r="AJ551" s="112"/>
      <c r="AK551" s="112"/>
      <c r="AL551" s="112"/>
      <c r="AM551" s="112"/>
      <c r="AN551" s="112"/>
      <c r="AO551" s="112"/>
      <c r="AP551" s="112"/>
      <c r="AQ551" s="112"/>
      <c r="AR551" s="112"/>
      <c r="AS551" s="112"/>
      <c r="AT551" s="112"/>
    </row>
    <row r="552" ht="15.75" customHeight="1">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c r="AH552" s="112"/>
      <c r="AI552" s="112"/>
      <c r="AJ552" s="112"/>
      <c r="AK552" s="112"/>
      <c r="AL552" s="112"/>
      <c r="AM552" s="112"/>
      <c r="AN552" s="112"/>
      <c r="AO552" s="112"/>
      <c r="AP552" s="112"/>
      <c r="AQ552" s="112"/>
      <c r="AR552" s="112"/>
      <c r="AS552" s="112"/>
      <c r="AT552" s="112"/>
    </row>
    <row r="553" ht="15.75" customHeight="1">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c r="AH553" s="112"/>
      <c r="AI553" s="112"/>
      <c r="AJ553" s="112"/>
      <c r="AK553" s="112"/>
      <c r="AL553" s="112"/>
      <c r="AM553" s="112"/>
      <c r="AN553" s="112"/>
      <c r="AO553" s="112"/>
      <c r="AP553" s="112"/>
      <c r="AQ553" s="112"/>
      <c r="AR553" s="112"/>
      <c r="AS553" s="112"/>
      <c r="AT553" s="112"/>
    </row>
    <row r="554" ht="15.75" customHeight="1">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c r="AH554" s="112"/>
      <c r="AI554" s="112"/>
      <c r="AJ554" s="112"/>
      <c r="AK554" s="112"/>
      <c r="AL554" s="112"/>
      <c r="AM554" s="112"/>
      <c r="AN554" s="112"/>
      <c r="AO554" s="112"/>
      <c r="AP554" s="112"/>
      <c r="AQ554" s="112"/>
      <c r="AR554" s="112"/>
      <c r="AS554" s="112"/>
      <c r="AT554" s="112"/>
    </row>
    <row r="555" ht="15.75" customHeight="1">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c r="AH555" s="112"/>
      <c r="AI555" s="112"/>
      <c r="AJ555" s="112"/>
      <c r="AK555" s="112"/>
      <c r="AL555" s="112"/>
      <c r="AM555" s="112"/>
      <c r="AN555" s="112"/>
      <c r="AO555" s="112"/>
      <c r="AP555" s="112"/>
      <c r="AQ555" s="112"/>
      <c r="AR555" s="112"/>
      <c r="AS555" s="112"/>
      <c r="AT555" s="112"/>
    </row>
    <row r="556" ht="15.75" customHeight="1">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c r="AH556" s="112"/>
      <c r="AI556" s="112"/>
      <c r="AJ556" s="112"/>
      <c r="AK556" s="112"/>
      <c r="AL556" s="112"/>
      <c r="AM556" s="112"/>
      <c r="AN556" s="112"/>
      <c r="AO556" s="112"/>
      <c r="AP556" s="112"/>
      <c r="AQ556" s="112"/>
      <c r="AR556" s="112"/>
      <c r="AS556" s="112"/>
      <c r="AT556" s="112"/>
    </row>
    <row r="557" ht="15.75" customHeight="1">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c r="AH557" s="112"/>
      <c r="AI557" s="112"/>
      <c r="AJ557" s="112"/>
      <c r="AK557" s="112"/>
      <c r="AL557" s="112"/>
      <c r="AM557" s="112"/>
      <c r="AN557" s="112"/>
      <c r="AO557" s="112"/>
      <c r="AP557" s="112"/>
      <c r="AQ557" s="112"/>
      <c r="AR557" s="112"/>
      <c r="AS557" s="112"/>
      <c r="AT557" s="112"/>
    </row>
    <row r="558" ht="15.75" customHeight="1">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c r="AH558" s="112"/>
      <c r="AI558" s="112"/>
      <c r="AJ558" s="112"/>
      <c r="AK558" s="112"/>
      <c r="AL558" s="112"/>
      <c r="AM558" s="112"/>
      <c r="AN558" s="112"/>
      <c r="AO558" s="112"/>
      <c r="AP558" s="112"/>
      <c r="AQ558" s="112"/>
      <c r="AR558" s="112"/>
      <c r="AS558" s="112"/>
      <c r="AT558" s="112"/>
    </row>
    <row r="559" ht="15.75" customHeight="1">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c r="AH559" s="112"/>
      <c r="AI559" s="112"/>
      <c r="AJ559" s="112"/>
      <c r="AK559" s="112"/>
      <c r="AL559" s="112"/>
      <c r="AM559" s="112"/>
      <c r="AN559" s="112"/>
      <c r="AO559" s="112"/>
      <c r="AP559" s="112"/>
      <c r="AQ559" s="112"/>
      <c r="AR559" s="112"/>
      <c r="AS559" s="112"/>
      <c r="AT559" s="112"/>
    </row>
    <row r="560" ht="15.75" customHeight="1">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c r="AH560" s="112"/>
      <c r="AI560" s="112"/>
      <c r="AJ560" s="112"/>
      <c r="AK560" s="112"/>
      <c r="AL560" s="112"/>
      <c r="AM560" s="112"/>
      <c r="AN560" s="112"/>
      <c r="AO560" s="112"/>
      <c r="AP560" s="112"/>
      <c r="AQ560" s="112"/>
      <c r="AR560" s="112"/>
      <c r="AS560" s="112"/>
      <c r="AT560" s="112"/>
    </row>
    <row r="561" ht="15.75" customHeight="1">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c r="AH561" s="112"/>
      <c r="AI561" s="112"/>
      <c r="AJ561" s="112"/>
      <c r="AK561" s="112"/>
      <c r="AL561" s="112"/>
      <c r="AM561" s="112"/>
      <c r="AN561" s="112"/>
      <c r="AO561" s="112"/>
      <c r="AP561" s="112"/>
      <c r="AQ561" s="112"/>
      <c r="AR561" s="112"/>
      <c r="AS561" s="112"/>
      <c r="AT561" s="112"/>
    </row>
    <row r="562" ht="15.75" customHeight="1">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c r="AH562" s="112"/>
      <c r="AI562" s="112"/>
      <c r="AJ562" s="112"/>
      <c r="AK562" s="112"/>
      <c r="AL562" s="112"/>
      <c r="AM562" s="112"/>
      <c r="AN562" s="112"/>
      <c r="AO562" s="112"/>
      <c r="AP562" s="112"/>
      <c r="AQ562" s="112"/>
      <c r="AR562" s="112"/>
      <c r="AS562" s="112"/>
      <c r="AT562" s="112"/>
    </row>
    <row r="563" ht="15.75" customHeight="1">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c r="AH563" s="112"/>
      <c r="AI563" s="112"/>
      <c r="AJ563" s="112"/>
      <c r="AK563" s="112"/>
      <c r="AL563" s="112"/>
      <c r="AM563" s="112"/>
      <c r="AN563" s="112"/>
      <c r="AO563" s="112"/>
      <c r="AP563" s="112"/>
      <c r="AQ563" s="112"/>
      <c r="AR563" s="112"/>
      <c r="AS563" s="112"/>
      <c r="AT563" s="112"/>
    </row>
    <row r="564" ht="15.75" customHeight="1">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c r="AH564" s="112"/>
      <c r="AI564" s="112"/>
      <c r="AJ564" s="112"/>
      <c r="AK564" s="112"/>
      <c r="AL564" s="112"/>
      <c r="AM564" s="112"/>
      <c r="AN564" s="112"/>
      <c r="AO564" s="112"/>
      <c r="AP564" s="112"/>
      <c r="AQ564" s="112"/>
      <c r="AR564" s="112"/>
      <c r="AS564" s="112"/>
      <c r="AT564" s="112"/>
    </row>
    <row r="565" ht="15.75" customHeight="1">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c r="AH565" s="112"/>
      <c r="AI565" s="112"/>
      <c r="AJ565" s="112"/>
      <c r="AK565" s="112"/>
      <c r="AL565" s="112"/>
      <c r="AM565" s="112"/>
      <c r="AN565" s="112"/>
      <c r="AO565" s="112"/>
      <c r="AP565" s="112"/>
      <c r="AQ565" s="112"/>
      <c r="AR565" s="112"/>
      <c r="AS565" s="112"/>
      <c r="AT565" s="112"/>
    </row>
    <row r="566" ht="15.75" customHeight="1">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c r="AH566" s="112"/>
      <c r="AI566" s="112"/>
      <c r="AJ566" s="112"/>
      <c r="AK566" s="112"/>
      <c r="AL566" s="112"/>
      <c r="AM566" s="112"/>
      <c r="AN566" s="112"/>
      <c r="AO566" s="112"/>
      <c r="AP566" s="112"/>
      <c r="AQ566" s="112"/>
      <c r="AR566" s="112"/>
      <c r="AS566" s="112"/>
      <c r="AT566" s="112"/>
    </row>
    <row r="567" ht="15.75" customHeight="1">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c r="AH567" s="112"/>
      <c r="AI567" s="112"/>
      <c r="AJ567" s="112"/>
      <c r="AK567" s="112"/>
      <c r="AL567" s="112"/>
      <c r="AM567" s="112"/>
      <c r="AN567" s="112"/>
      <c r="AO567" s="112"/>
      <c r="AP567" s="112"/>
      <c r="AQ567" s="112"/>
      <c r="AR567" s="112"/>
      <c r="AS567" s="112"/>
      <c r="AT567" s="112"/>
    </row>
    <row r="568" ht="15.75" customHeight="1">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c r="AH568" s="112"/>
      <c r="AI568" s="112"/>
      <c r="AJ568" s="112"/>
      <c r="AK568" s="112"/>
      <c r="AL568" s="112"/>
      <c r="AM568" s="112"/>
      <c r="AN568" s="112"/>
      <c r="AO568" s="112"/>
      <c r="AP568" s="112"/>
      <c r="AQ568" s="112"/>
      <c r="AR568" s="112"/>
      <c r="AS568" s="112"/>
      <c r="AT568" s="112"/>
    </row>
    <row r="569" ht="15.75" customHeight="1">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row>
    <row r="570" ht="15.75" customHeight="1">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c r="AH570" s="112"/>
      <c r="AI570" s="112"/>
      <c r="AJ570" s="112"/>
      <c r="AK570" s="112"/>
      <c r="AL570" s="112"/>
      <c r="AM570" s="112"/>
      <c r="AN570" s="112"/>
      <c r="AO570" s="112"/>
      <c r="AP570" s="112"/>
      <c r="AQ570" s="112"/>
      <c r="AR570" s="112"/>
      <c r="AS570" s="112"/>
      <c r="AT570" s="112"/>
    </row>
    <row r="571" ht="15.75" customHeight="1">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c r="AH571" s="112"/>
      <c r="AI571" s="112"/>
      <c r="AJ571" s="112"/>
      <c r="AK571" s="112"/>
      <c r="AL571" s="112"/>
      <c r="AM571" s="112"/>
      <c r="AN571" s="112"/>
      <c r="AO571" s="112"/>
      <c r="AP571" s="112"/>
      <c r="AQ571" s="112"/>
      <c r="AR571" s="112"/>
      <c r="AS571" s="112"/>
      <c r="AT571" s="112"/>
    </row>
    <row r="572" ht="15.75" customHeight="1">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c r="AH572" s="112"/>
      <c r="AI572" s="112"/>
      <c r="AJ572" s="112"/>
      <c r="AK572" s="112"/>
      <c r="AL572" s="112"/>
      <c r="AM572" s="112"/>
      <c r="AN572" s="112"/>
      <c r="AO572" s="112"/>
      <c r="AP572" s="112"/>
      <c r="AQ572" s="112"/>
      <c r="AR572" s="112"/>
      <c r="AS572" s="112"/>
      <c r="AT572" s="112"/>
    </row>
    <row r="573" ht="15.75" customHeight="1">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c r="AH573" s="112"/>
      <c r="AI573" s="112"/>
      <c r="AJ573" s="112"/>
      <c r="AK573" s="112"/>
      <c r="AL573" s="112"/>
      <c r="AM573" s="112"/>
      <c r="AN573" s="112"/>
      <c r="AO573" s="112"/>
      <c r="AP573" s="112"/>
      <c r="AQ573" s="112"/>
      <c r="AR573" s="112"/>
      <c r="AS573" s="112"/>
      <c r="AT573" s="112"/>
    </row>
    <row r="574" ht="15.75" customHeight="1">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c r="AH574" s="112"/>
      <c r="AI574" s="112"/>
      <c r="AJ574" s="112"/>
      <c r="AK574" s="112"/>
      <c r="AL574" s="112"/>
      <c r="AM574" s="112"/>
      <c r="AN574" s="112"/>
      <c r="AO574" s="112"/>
      <c r="AP574" s="112"/>
      <c r="AQ574" s="112"/>
      <c r="AR574" s="112"/>
      <c r="AS574" s="112"/>
      <c r="AT574" s="112"/>
    </row>
    <row r="575" ht="15.75" customHeight="1">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row>
    <row r="576" ht="15.75" customHeight="1">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c r="AH576" s="112"/>
      <c r="AI576" s="112"/>
      <c r="AJ576" s="112"/>
      <c r="AK576" s="112"/>
      <c r="AL576" s="112"/>
      <c r="AM576" s="112"/>
      <c r="AN576" s="112"/>
      <c r="AO576" s="112"/>
      <c r="AP576" s="112"/>
      <c r="AQ576" s="112"/>
      <c r="AR576" s="112"/>
      <c r="AS576" s="112"/>
      <c r="AT576" s="112"/>
    </row>
    <row r="577" ht="15.75" customHeight="1">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c r="AH577" s="112"/>
      <c r="AI577" s="112"/>
      <c r="AJ577" s="112"/>
      <c r="AK577" s="112"/>
      <c r="AL577" s="112"/>
      <c r="AM577" s="112"/>
      <c r="AN577" s="112"/>
      <c r="AO577" s="112"/>
      <c r="AP577" s="112"/>
      <c r="AQ577" s="112"/>
      <c r="AR577" s="112"/>
      <c r="AS577" s="112"/>
      <c r="AT577" s="112"/>
    </row>
    <row r="578" ht="15.75" customHeight="1">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c r="AH578" s="112"/>
      <c r="AI578" s="112"/>
      <c r="AJ578" s="112"/>
      <c r="AK578" s="112"/>
      <c r="AL578" s="112"/>
      <c r="AM578" s="112"/>
      <c r="AN578" s="112"/>
      <c r="AO578" s="112"/>
      <c r="AP578" s="112"/>
      <c r="AQ578" s="112"/>
      <c r="AR578" s="112"/>
      <c r="AS578" s="112"/>
      <c r="AT578" s="112"/>
    </row>
    <row r="579" ht="15.75" customHeight="1">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c r="AH579" s="112"/>
      <c r="AI579" s="112"/>
      <c r="AJ579" s="112"/>
      <c r="AK579" s="112"/>
      <c r="AL579" s="112"/>
      <c r="AM579" s="112"/>
      <c r="AN579" s="112"/>
      <c r="AO579" s="112"/>
      <c r="AP579" s="112"/>
      <c r="AQ579" s="112"/>
      <c r="AR579" s="112"/>
      <c r="AS579" s="112"/>
      <c r="AT579" s="112"/>
    </row>
    <row r="580" ht="15.75" customHeight="1">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c r="AH580" s="112"/>
      <c r="AI580" s="112"/>
      <c r="AJ580" s="112"/>
      <c r="AK580" s="112"/>
      <c r="AL580" s="112"/>
      <c r="AM580" s="112"/>
      <c r="AN580" s="112"/>
      <c r="AO580" s="112"/>
      <c r="AP580" s="112"/>
      <c r="AQ580" s="112"/>
      <c r="AR580" s="112"/>
      <c r="AS580" s="112"/>
      <c r="AT580" s="112"/>
    </row>
    <row r="581" ht="15.75" customHeight="1">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c r="AH581" s="112"/>
      <c r="AI581" s="112"/>
      <c r="AJ581" s="112"/>
      <c r="AK581" s="112"/>
      <c r="AL581" s="112"/>
      <c r="AM581" s="112"/>
      <c r="AN581" s="112"/>
      <c r="AO581" s="112"/>
      <c r="AP581" s="112"/>
      <c r="AQ581" s="112"/>
      <c r="AR581" s="112"/>
      <c r="AS581" s="112"/>
      <c r="AT581" s="112"/>
    </row>
    <row r="582" ht="15.75" customHeight="1">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row>
    <row r="583" ht="15.75" customHeight="1">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c r="AH583" s="112"/>
      <c r="AI583" s="112"/>
      <c r="AJ583" s="112"/>
      <c r="AK583" s="112"/>
      <c r="AL583" s="112"/>
      <c r="AM583" s="112"/>
      <c r="AN583" s="112"/>
      <c r="AO583" s="112"/>
      <c r="AP583" s="112"/>
      <c r="AQ583" s="112"/>
      <c r="AR583" s="112"/>
      <c r="AS583" s="112"/>
      <c r="AT583" s="112"/>
    </row>
    <row r="584" ht="15.75" customHeight="1">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c r="AH584" s="112"/>
      <c r="AI584" s="112"/>
      <c r="AJ584" s="112"/>
      <c r="AK584" s="112"/>
      <c r="AL584" s="112"/>
      <c r="AM584" s="112"/>
      <c r="AN584" s="112"/>
      <c r="AO584" s="112"/>
      <c r="AP584" s="112"/>
      <c r="AQ584" s="112"/>
      <c r="AR584" s="112"/>
      <c r="AS584" s="112"/>
      <c r="AT584" s="112"/>
    </row>
    <row r="585" ht="15.75" customHeight="1">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c r="AH585" s="112"/>
      <c r="AI585" s="112"/>
      <c r="AJ585" s="112"/>
      <c r="AK585" s="112"/>
      <c r="AL585" s="112"/>
      <c r="AM585" s="112"/>
      <c r="AN585" s="112"/>
      <c r="AO585" s="112"/>
      <c r="AP585" s="112"/>
      <c r="AQ585" s="112"/>
      <c r="AR585" s="112"/>
      <c r="AS585" s="112"/>
      <c r="AT585" s="112"/>
    </row>
    <row r="586" ht="15.75" customHeight="1">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c r="AH586" s="112"/>
      <c r="AI586" s="112"/>
      <c r="AJ586" s="112"/>
      <c r="AK586" s="112"/>
      <c r="AL586" s="112"/>
      <c r="AM586" s="112"/>
      <c r="AN586" s="112"/>
      <c r="AO586" s="112"/>
      <c r="AP586" s="112"/>
      <c r="AQ586" s="112"/>
      <c r="AR586" s="112"/>
      <c r="AS586" s="112"/>
      <c r="AT586" s="112"/>
    </row>
    <row r="587" ht="15.75" customHeight="1">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c r="AH587" s="112"/>
      <c r="AI587" s="112"/>
      <c r="AJ587" s="112"/>
      <c r="AK587" s="112"/>
      <c r="AL587" s="112"/>
      <c r="AM587" s="112"/>
      <c r="AN587" s="112"/>
      <c r="AO587" s="112"/>
      <c r="AP587" s="112"/>
      <c r="AQ587" s="112"/>
      <c r="AR587" s="112"/>
      <c r="AS587" s="112"/>
      <c r="AT587" s="112"/>
    </row>
    <row r="588" ht="15.75" customHeight="1">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c r="AH588" s="112"/>
      <c r="AI588" s="112"/>
      <c r="AJ588" s="112"/>
      <c r="AK588" s="112"/>
      <c r="AL588" s="112"/>
      <c r="AM588" s="112"/>
      <c r="AN588" s="112"/>
      <c r="AO588" s="112"/>
      <c r="AP588" s="112"/>
      <c r="AQ588" s="112"/>
      <c r="AR588" s="112"/>
      <c r="AS588" s="112"/>
      <c r="AT588" s="112"/>
    </row>
    <row r="589" ht="15.75" customHeight="1">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c r="AH589" s="112"/>
      <c r="AI589" s="112"/>
      <c r="AJ589" s="112"/>
      <c r="AK589" s="112"/>
      <c r="AL589" s="112"/>
      <c r="AM589" s="112"/>
      <c r="AN589" s="112"/>
      <c r="AO589" s="112"/>
      <c r="AP589" s="112"/>
      <c r="AQ589" s="112"/>
      <c r="AR589" s="112"/>
      <c r="AS589" s="112"/>
      <c r="AT589" s="112"/>
    </row>
    <row r="590" ht="15.75" customHeight="1">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c r="AH590" s="112"/>
      <c r="AI590" s="112"/>
      <c r="AJ590" s="112"/>
      <c r="AK590" s="112"/>
      <c r="AL590" s="112"/>
      <c r="AM590" s="112"/>
      <c r="AN590" s="112"/>
      <c r="AO590" s="112"/>
      <c r="AP590" s="112"/>
      <c r="AQ590" s="112"/>
      <c r="AR590" s="112"/>
      <c r="AS590" s="112"/>
      <c r="AT590" s="112"/>
    </row>
    <row r="591" ht="15.75" customHeight="1">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c r="AH591" s="112"/>
      <c r="AI591" s="112"/>
      <c r="AJ591" s="112"/>
      <c r="AK591" s="112"/>
      <c r="AL591" s="112"/>
      <c r="AM591" s="112"/>
      <c r="AN591" s="112"/>
      <c r="AO591" s="112"/>
      <c r="AP591" s="112"/>
      <c r="AQ591" s="112"/>
      <c r="AR591" s="112"/>
      <c r="AS591" s="112"/>
      <c r="AT591" s="112"/>
    </row>
    <row r="592" ht="15.75" customHeight="1">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c r="AH592" s="112"/>
      <c r="AI592" s="112"/>
      <c r="AJ592" s="112"/>
      <c r="AK592" s="112"/>
      <c r="AL592" s="112"/>
      <c r="AM592" s="112"/>
      <c r="AN592" s="112"/>
      <c r="AO592" s="112"/>
      <c r="AP592" s="112"/>
      <c r="AQ592" s="112"/>
      <c r="AR592" s="112"/>
      <c r="AS592" s="112"/>
      <c r="AT592" s="112"/>
    </row>
    <row r="593" ht="15.75" customHeight="1">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c r="AH593" s="112"/>
      <c r="AI593" s="112"/>
      <c r="AJ593" s="112"/>
      <c r="AK593" s="112"/>
      <c r="AL593" s="112"/>
      <c r="AM593" s="112"/>
      <c r="AN593" s="112"/>
      <c r="AO593" s="112"/>
      <c r="AP593" s="112"/>
      <c r="AQ593" s="112"/>
      <c r="AR593" s="112"/>
      <c r="AS593" s="112"/>
      <c r="AT593" s="112"/>
    </row>
    <row r="594" ht="15.75" customHeight="1">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c r="AH594" s="112"/>
      <c r="AI594" s="112"/>
      <c r="AJ594" s="112"/>
      <c r="AK594" s="112"/>
      <c r="AL594" s="112"/>
      <c r="AM594" s="112"/>
      <c r="AN594" s="112"/>
      <c r="AO594" s="112"/>
      <c r="AP594" s="112"/>
      <c r="AQ594" s="112"/>
      <c r="AR594" s="112"/>
      <c r="AS594" s="112"/>
      <c r="AT594" s="112"/>
    </row>
    <row r="595" ht="15.75" customHeight="1">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c r="AH595" s="112"/>
      <c r="AI595" s="112"/>
      <c r="AJ595" s="112"/>
      <c r="AK595" s="112"/>
      <c r="AL595" s="112"/>
      <c r="AM595" s="112"/>
      <c r="AN595" s="112"/>
      <c r="AO595" s="112"/>
      <c r="AP595" s="112"/>
      <c r="AQ595" s="112"/>
      <c r="AR595" s="112"/>
      <c r="AS595" s="112"/>
      <c r="AT595" s="112"/>
    </row>
    <row r="596" ht="15.75" customHeight="1">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c r="AH596" s="112"/>
      <c r="AI596" s="112"/>
      <c r="AJ596" s="112"/>
      <c r="AK596" s="112"/>
      <c r="AL596" s="112"/>
      <c r="AM596" s="112"/>
      <c r="AN596" s="112"/>
      <c r="AO596" s="112"/>
      <c r="AP596" s="112"/>
      <c r="AQ596" s="112"/>
      <c r="AR596" s="112"/>
      <c r="AS596" s="112"/>
      <c r="AT596" s="112"/>
    </row>
    <row r="597" ht="15.75" customHeight="1">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c r="AH597" s="112"/>
      <c r="AI597" s="112"/>
      <c r="AJ597" s="112"/>
      <c r="AK597" s="112"/>
      <c r="AL597" s="112"/>
      <c r="AM597" s="112"/>
      <c r="AN597" s="112"/>
      <c r="AO597" s="112"/>
      <c r="AP597" s="112"/>
      <c r="AQ597" s="112"/>
      <c r="AR597" s="112"/>
      <c r="AS597" s="112"/>
      <c r="AT597" s="112"/>
    </row>
    <row r="598" ht="15.75" customHeight="1">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c r="AH598" s="112"/>
      <c r="AI598" s="112"/>
      <c r="AJ598" s="112"/>
      <c r="AK598" s="112"/>
      <c r="AL598" s="112"/>
      <c r="AM598" s="112"/>
      <c r="AN598" s="112"/>
      <c r="AO598" s="112"/>
      <c r="AP598" s="112"/>
      <c r="AQ598" s="112"/>
      <c r="AR598" s="112"/>
      <c r="AS598" s="112"/>
      <c r="AT598" s="112"/>
    </row>
    <row r="599" ht="15.75" customHeight="1">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c r="AH599" s="112"/>
      <c r="AI599" s="112"/>
      <c r="AJ599" s="112"/>
      <c r="AK599" s="112"/>
      <c r="AL599" s="112"/>
      <c r="AM599" s="112"/>
      <c r="AN599" s="112"/>
      <c r="AO599" s="112"/>
      <c r="AP599" s="112"/>
      <c r="AQ599" s="112"/>
      <c r="AR599" s="112"/>
      <c r="AS599" s="112"/>
      <c r="AT599" s="112"/>
    </row>
    <row r="600" ht="15.75" customHeight="1">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c r="AH600" s="112"/>
      <c r="AI600" s="112"/>
      <c r="AJ600" s="112"/>
      <c r="AK600" s="112"/>
      <c r="AL600" s="112"/>
      <c r="AM600" s="112"/>
      <c r="AN600" s="112"/>
      <c r="AO600" s="112"/>
      <c r="AP600" s="112"/>
      <c r="AQ600" s="112"/>
      <c r="AR600" s="112"/>
      <c r="AS600" s="112"/>
      <c r="AT600" s="112"/>
    </row>
    <row r="601" ht="15.75" customHeight="1">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c r="AH601" s="112"/>
      <c r="AI601" s="112"/>
      <c r="AJ601" s="112"/>
      <c r="AK601" s="112"/>
      <c r="AL601" s="112"/>
      <c r="AM601" s="112"/>
      <c r="AN601" s="112"/>
      <c r="AO601" s="112"/>
      <c r="AP601" s="112"/>
      <c r="AQ601" s="112"/>
      <c r="AR601" s="112"/>
      <c r="AS601" s="112"/>
      <c r="AT601" s="112"/>
    </row>
    <row r="602" ht="15.75" customHeight="1">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c r="AH602" s="112"/>
      <c r="AI602" s="112"/>
      <c r="AJ602" s="112"/>
      <c r="AK602" s="112"/>
      <c r="AL602" s="112"/>
      <c r="AM602" s="112"/>
      <c r="AN602" s="112"/>
      <c r="AO602" s="112"/>
      <c r="AP602" s="112"/>
      <c r="AQ602" s="112"/>
      <c r="AR602" s="112"/>
      <c r="AS602" s="112"/>
      <c r="AT602" s="112"/>
    </row>
    <row r="603" ht="15.75" customHeight="1">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c r="AH603" s="112"/>
      <c r="AI603" s="112"/>
      <c r="AJ603" s="112"/>
      <c r="AK603" s="112"/>
      <c r="AL603" s="112"/>
      <c r="AM603" s="112"/>
      <c r="AN603" s="112"/>
      <c r="AO603" s="112"/>
      <c r="AP603" s="112"/>
      <c r="AQ603" s="112"/>
      <c r="AR603" s="112"/>
      <c r="AS603" s="112"/>
      <c r="AT603" s="112"/>
    </row>
    <row r="604" ht="15.75" customHeight="1">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c r="AH604" s="112"/>
      <c r="AI604" s="112"/>
      <c r="AJ604" s="112"/>
      <c r="AK604" s="112"/>
      <c r="AL604" s="112"/>
      <c r="AM604" s="112"/>
      <c r="AN604" s="112"/>
      <c r="AO604" s="112"/>
      <c r="AP604" s="112"/>
      <c r="AQ604" s="112"/>
      <c r="AR604" s="112"/>
      <c r="AS604" s="112"/>
      <c r="AT604" s="112"/>
    </row>
    <row r="605" ht="15.75" customHeight="1">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c r="AH605" s="112"/>
      <c r="AI605" s="112"/>
      <c r="AJ605" s="112"/>
      <c r="AK605" s="112"/>
      <c r="AL605" s="112"/>
      <c r="AM605" s="112"/>
      <c r="AN605" s="112"/>
      <c r="AO605" s="112"/>
      <c r="AP605" s="112"/>
      <c r="AQ605" s="112"/>
      <c r="AR605" s="112"/>
      <c r="AS605" s="112"/>
      <c r="AT605" s="112"/>
    </row>
    <row r="606" ht="15.75" customHeight="1">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c r="AH606" s="112"/>
      <c r="AI606" s="112"/>
      <c r="AJ606" s="112"/>
      <c r="AK606" s="112"/>
      <c r="AL606" s="112"/>
      <c r="AM606" s="112"/>
      <c r="AN606" s="112"/>
      <c r="AO606" s="112"/>
      <c r="AP606" s="112"/>
      <c r="AQ606" s="112"/>
      <c r="AR606" s="112"/>
      <c r="AS606" s="112"/>
      <c r="AT606" s="112"/>
    </row>
    <row r="607" ht="15.75" customHeight="1">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c r="AH607" s="112"/>
      <c r="AI607" s="112"/>
      <c r="AJ607" s="112"/>
      <c r="AK607" s="112"/>
      <c r="AL607" s="112"/>
      <c r="AM607" s="112"/>
      <c r="AN607" s="112"/>
      <c r="AO607" s="112"/>
      <c r="AP607" s="112"/>
      <c r="AQ607" s="112"/>
      <c r="AR607" s="112"/>
      <c r="AS607" s="112"/>
      <c r="AT607" s="112"/>
    </row>
    <row r="608" ht="15.75" customHeight="1">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c r="AH608" s="112"/>
      <c r="AI608" s="112"/>
      <c r="AJ608" s="112"/>
      <c r="AK608" s="112"/>
      <c r="AL608" s="112"/>
      <c r="AM608" s="112"/>
      <c r="AN608" s="112"/>
      <c r="AO608" s="112"/>
      <c r="AP608" s="112"/>
      <c r="AQ608" s="112"/>
      <c r="AR608" s="112"/>
      <c r="AS608" s="112"/>
      <c r="AT608" s="112"/>
    </row>
    <row r="609" ht="15.75" customHeight="1">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c r="AH609" s="112"/>
      <c r="AI609" s="112"/>
      <c r="AJ609" s="112"/>
      <c r="AK609" s="112"/>
      <c r="AL609" s="112"/>
      <c r="AM609" s="112"/>
      <c r="AN609" s="112"/>
      <c r="AO609" s="112"/>
      <c r="AP609" s="112"/>
      <c r="AQ609" s="112"/>
      <c r="AR609" s="112"/>
      <c r="AS609" s="112"/>
      <c r="AT609" s="112"/>
    </row>
    <row r="610" ht="15.75" customHeight="1">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c r="AH610" s="112"/>
      <c r="AI610" s="112"/>
      <c r="AJ610" s="112"/>
      <c r="AK610" s="112"/>
      <c r="AL610" s="112"/>
      <c r="AM610" s="112"/>
      <c r="AN610" s="112"/>
      <c r="AO610" s="112"/>
      <c r="AP610" s="112"/>
      <c r="AQ610" s="112"/>
      <c r="AR610" s="112"/>
      <c r="AS610" s="112"/>
      <c r="AT610" s="112"/>
    </row>
    <row r="611" ht="15.75" customHeight="1">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c r="AH611" s="112"/>
      <c r="AI611" s="112"/>
      <c r="AJ611" s="112"/>
      <c r="AK611" s="112"/>
      <c r="AL611" s="112"/>
      <c r="AM611" s="112"/>
      <c r="AN611" s="112"/>
      <c r="AO611" s="112"/>
      <c r="AP611" s="112"/>
      <c r="AQ611" s="112"/>
      <c r="AR611" s="112"/>
      <c r="AS611" s="112"/>
      <c r="AT611" s="112"/>
    </row>
    <row r="612" ht="15.75" customHeight="1">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c r="AH612" s="112"/>
      <c r="AI612" s="112"/>
      <c r="AJ612" s="112"/>
      <c r="AK612" s="112"/>
      <c r="AL612" s="112"/>
      <c r="AM612" s="112"/>
      <c r="AN612" s="112"/>
      <c r="AO612" s="112"/>
      <c r="AP612" s="112"/>
      <c r="AQ612" s="112"/>
      <c r="AR612" s="112"/>
      <c r="AS612" s="112"/>
      <c r="AT612" s="112"/>
    </row>
    <row r="613" ht="15.75" customHeight="1">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c r="AH613" s="112"/>
      <c r="AI613" s="112"/>
      <c r="AJ613" s="112"/>
      <c r="AK613" s="112"/>
      <c r="AL613" s="112"/>
      <c r="AM613" s="112"/>
      <c r="AN613" s="112"/>
      <c r="AO613" s="112"/>
      <c r="AP613" s="112"/>
      <c r="AQ613" s="112"/>
      <c r="AR613" s="112"/>
      <c r="AS613" s="112"/>
      <c r="AT613" s="112"/>
    </row>
    <row r="614" ht="15.75" customHeight="1">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c r="AH614" s="112"/>
      <c r="AI614" s="112"/>
      <c r="AJ614" s="112"/>
      <c r="AK614" s="112"/>
      <c r="AL614" s="112"/>
      <c r="AM614" s="112"/>
      <c r="AN614" s="112"/>
      <c r="AO614" s="112"/>
      <c r="AP614" s="112"/>
      <c r="AQ614" s="112"/>
      <c r="AR614" s="112"/>
      <c r="AS614" s="112"/>
      <c r="AT614" s="112"/>
    </row>
    <row r="615" ht="15.75" customHeight="1">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c r="AH615" s="112"/>
      <c r="AI615" s="112"/>
      <c r="AJ615" s="112"/>
      <c r="AK615" s="112"/>
      <c r="AL615" s="112"/>
      <c r="AM615" s="112"/>
      <c r="AN615" s="112"/>
      <c r="AO615" s="112"/>
      <c r="AP615" s="112"/>
      <c r="AQ615" s="112"/>
      <c r="AR615" s="112"/>
      <c r="AS615" s="112"/>
      <c r="AT615" s="112"/>
    </row>
    <row r="616" ht="15.75" customHeight="1">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c r="AH616" s="112"/>
      <c r="AI616" s="112"/>
      <c r="AJ616" s="112"/>
      <c r="AK616" s="112"/>
      <c r="AL616" s="112"/>
      <c r="AM616" s="112"/>
      <c r="AN616" s="112"/>
      <c r="AO616" s="112"/>
      <c r="AP616" s="112"/>
      <c r="AQ616" s="112"/>
      <c r="AR616" s="112"/>
      <c r="AS616" s="112"/>
      <c r="AT616" s="112"/>
    </row>
    <row r="617" ht="15.75" customHeight="1">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c r="AH617" s="112"/>
      <c r="AI617" s="112"/>
      <c r="AJ617" s="112"/>
      <c r="AK617" s="112"/>
      <c r="AL617" s="112"/>
      <c r="AM617" s="112"/>
      <c r="AN617" s="112"/>
      <c r="AO617" s="112"/>
      <c r="AP617" s="112"/>
      <c r="AQ617" s="112"/>
      <c r="AR617" s="112"/>
      <c r="AS617" s="112"/>
      <c r="AT617" s="112"/>
    </row>
    <row r="618" ht="15.75" customHeight="1">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c r="AH618" s="112"/>
      <c r="AI618" s="112"/>
      <c r="AJ618" s="112"/>
      <c r="AK618" s="112"/>
      <c r="AL618" s="112"/>
      <c r="AM618" s="112"/>
      <c r="AN618" s="112"/>
      <c r="AO618" s="112"/>
      <c r="AP618" s="112"/>
      <c r="AQ618" s="112"/>
      <c r="AR618" s="112"/>
      <c r="AS618" s="112"/>
      <c r="AT618" s="112"/>
    </row>
    <row r="619" ht="15.75" customHeight="1">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c r="AH619" s="112"/>
      <c r="AI619" s="112"/>
      <c r="AJ619" s="112"/>
      <c r="AK619" s="112"/>
      <c r="AL619" s="112"/>
      <c r="AM619" s="112"/>
      <c r="AN619" s="112"/>
      <c r="AO619" s="112"/>
      <c r="AP619" s="112"/>
      <c r="AQ619" s="112"/>
      <c r="AR619" s="112"/>
      <c r="AS619" s="112"/>
      <c r="AT619" s="112"/>
    </row>
    <row r="620" ht="15.75" customHeight="1">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c r="AH620" s="112"/>
      <c r="AI620" s="112"/>
      <c r="AJ620" s="112"/>
      <c r="AK620" s="112"/>
      <c r="AL620" s="112"/>
      <c r="AM620" s="112"/>
      <c r="AN620" s="112"/>
      <c r="AO620" s="112"/>
      <c r="AP620" s="112"/>
      <c r="AQ620" s="112"/>
      <c r="AR620" s="112"/>
      <c r="AS620" s="112"/>
      <c r="AT620" s="112"/>
    </row>
    <row r="621" ht="15.75" customHeight="1">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c r="AH621" s="112"/>
      <c r="AI621" s="112"/>
      <c r="AJ621" s="112"/>
      <c r="AK621" s="112"/>
      <c r="AL621" s="112"/>
      <c r="AM621" s="112"/>
      <c r="AN621" s="112"/>
      <c r="AO621" s="112"/>
      <c r="AP621" s="112"/>
      <c r="AQ621" s="112"/>
      <c r="AR621" s="112"/>
      <c r="AS621" s="112"/>
      <c r="AT621" s="112"/>
    </row>
    <row r="622" ht="15.75" customHeight="1">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c r="AH622" s="112"/>
      <c r="AI622" s="112"/>
      <c r="AJ622" s="112"/>
      <c r="AK622" s="112"/>
      <c r="AL622" s="112"/>
      <c r="AM622" s="112"/>
      <c r="AN622" s="112"/>
      <c r="AO622" s="112"/>
      <c r="AP622" s="112"/>
      <c r="AQ622" s="112"/>
      <c r="AR622" s="112"/>
      <c r="AS622" s="112"/>
      <c r="AT622" s="112"/>
    </row>
    <row r="623" ht="15.75" customHeight="1">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c r="AH623" s="112"/>
      <c r="AI623" s="112"/>
      <c r="AJ623" s="112"/>
      <c r="AK623" s="112"/>
      <c r="AL623" s="112"/>
      <c r="AM623" s="112"/>
      <c r="AN623" s="112"/>
      <c r="AO623" s="112"/>
      <c r="AP623" s="112"/>
      <c r="AQ623" s="112"/>
      <c r="AR623" s="112"/>
      <c r="AS623" s="112"/>
      <c r="AT623" s="112"/>
    </row>
    <row r="624" ht="15.75" customHeight="1">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c r="AH624" s="112"/>
      <c r="AI624" s="112"/>
      <c r="AJ624" s="112"/>
      <c r="AK624" s="112"/>
      <c r="AL624" s="112"/>
      <c r="AM624" s="112"/>
      <c r="AN624" s="112"/>
      <c r="AO624" s="112"/>
      <c r="AP624" s="112"/>
      <c r="AQ624" s="112"/>
      <c r="AR624" s="112"/>
      <c r="AS624" s="112"/>
      <c r="AT624" s="112"/>
    </row>
    <row r="625" ht="15.75" customHeight="1">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c r="AH625" s="112"/>
      <c r="AI625" s="112"/>
      <c r="AJ625" s="112"/>
      <c r="AK625" s="112"/>
      <c r="AL625" s="112"/>
      <c r="AM625" s="112"/>
      <c r="AN625" s="112"/>
      <c r="AO625" s="112"/>
      <c r="AP625" s="112"/>
      <c r="AQ625" s="112"/>
      <c r="AR625" s="112"/>
      <c r="AS625" s="112"/>
      <c r="AT625" s="112"/>
    </row>
    <row r="626" ht="15.75" customHeight="1">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c r="AH626" s="112"/>
      <c r="AI626" s="112"/>
      <c r="AJ626" s="112"/>
      <c r="AK626" s="112"/>
      <c r="AL626" s="112"/>
      <c r="AM626" s="112"/>
      <c r="AN626" s="112"/>
      <c r="AO626" s="112"/>
      <c r="AP626" s="112"/>
      <c r="AQ626" s="112"/>
      <c r="AR626" s="112"/>
      <c r="AS626" s="112"/>
      <c r="AT626" s="112"/>
    </row>
    <row r="627" ht="15.75" customHeight="1">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c r="AH627" s="112"/>
      <c r="AI627" s="112"/>
      <c r="AJ627" s="112"/>
      <c r="AK627" s="112"/>
      <c r="AL627" s="112"/>
      <c r="AM627" s="112"/>
      <c r="AN627" s="112"/>
      <c r="AO627" s="112"/>
      <c r="AP627" s="112"/>
      <c r="AQ627" s="112"/>
      <c r="AR627" s="112"/>
      <c r="AS627" s="112"/>
      <c r="AT627" s="112"/>
    </row>
    <row r="628" ht="15.75" customHeight="1">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c r="AH628" s="112"/>
      <c r="AI628" s="112"/>
      <c r="AJ628" s="112"/>
      <c r="AK628" s="112"/>
      <c r="AL628" s="112"/>
      <c r="AM628" s="112"/>
      <c r="AN628" s="112"/>
      <c r="AO628" s="112"/>
      <c r="AP628" s="112"/>
      <c r="AQ628" s="112"/>
      <c r="AR628" s="112"/>
      <c r="AS628" s="112"/>
      <c r="AT628" s="112"/>
    </row>
    <row r="629" ht="15.75" customHeight="1">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c r="AH629" s="112"/>
      <c r="AI629" s="112"/>
      <c r="AJ629" s="112"/>
      <c r="AK629" s="112"/>
      <c r="AL629" s="112"/>
      <c r="AM629" s="112"/>
      <c r="AN629" s="112"/>
      <c r="AO629" s="112"/>
      <c r="AP629" s="112"/>
      <c r="AQ629" s="112"/>
      <c r="AR629" s="112"/>
      <c r="AS629" s="112"/>
      <c r="AT629" s="112"/>
    </row>
    <row r="630" ht="15.75" customHeight="1">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c r="AH630" s="112"/>
      <c r="AI630" s="112"/>
      <c r="AJ630" s="112"/>
      <c r="AK630" s="112"/>
      <c r="AL630" s="112"/>
      <c r="AM630" s="112"/>
      <c r="AN630" s="112"/>
      <c r="AO630" s="112"/>
      <c r="AP630" s="112"/>
      <c r="AQ630" s="112"/>
      <c r="AR630" s="112"/>
      <c r="AS630" s="112"/>
      <c r="AT630" s="112"/>
    </row>
    <row r="631" ht="15.75" customHeight="1">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c r="AH631" s="112"/>
      <c r="AI631" s="112"/>
      <c r="AJ631" s="112"/>
      <c r="AK631" s="112"/>
      <c r="AL631" s="112"/>
      <c r="AM631" s="112"/>
      <c r="AN631" s="112"/>
      <c r="AO631" s="112"/>
      <c r="AP631" s="112"/>
      <c r="AQ631" s="112"/>
      <c r="AR631" s="112"/>
      <c r="AS631" s="112"/>
      <c r="AT631" s="112"/>
    </row>
    <row r="632" ht="15.75" customHeight="1">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c r="AH632" s="112"/>
      <c r="AI632" s="112"/>
      <c r="AJ632" s="112"/>
      <c r="AK632" s="112"/>
      <c r="AL632" s="112"/>
      <c r="AM632" s="112"/>
      <c r="AN632" s="112"/>
      <c r="AO632" s="112"/>
      <c r="AP632" s="112"/>
      <c r="AQ632" s="112"/>
      <c r="AR632" s="112"/>
      <c r="AS632" s="112"/>
      <c r="AT632" s="112"/>
    </row>
    <row r="633" ht="15.75" customHeight="1">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c r="AH633" s="112"/>
      <c r="AI633" s="112"/>
      <c r="AJ633" s="112"/>
      <c r="AK633" s="112"/>
      <c r="AL633" s="112"/>
      <c r="AM633" s="112"/>
      <c r="AN633" s="112"/>
      <c r="AO633" s="112"/>
      <c r="AP633" s="112"/>
      <c r="AQ633" s="112"/>
      <c r="AR633" s="112"/>
      <c r="AS633" s="112"/>
      <c r="AT633" s="112"/>
    </row>
    <row r="634" ht="15.75" customHeight="1">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c r="AH634" s="112"/>
      <c r="AI634" s="112"/>
      <c r="AJ634" s="112"/>
      <c r="AK634" s="112"/>
      <c r="AL634" s="112"/>
      <c r="AM634" s="112"/>
      <c r="AN634" s="112"/>
      <c r="AO634" s="112"/>
      <c r="AP634" s="112"/>
      <c r="AQ634" s="112"/>
      <c r="AR634" s="112"/>
      <c r="AS634" s="112"/>
      <c r="AT634" s="112"/>
    </row>
    <row r="635" ht="15.75" customHeight="1">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c r="AH635" s="112"/>
      <c r="AI635" s="112"/>
      <c r="AJ635" s="112"/>
      <c r="AK635" s="112"/>
      <c r="AL635" s="112"/>
      <c r="AM635" s="112"/>
      <c r="AN635" s="112"/>
      <c r="AO635" s="112"/>
      <c r="AP635" s="112"/>
      <c r="AQ635" s="112"/>
      <c r="AR635" s="112"/>
      <c r="AS635" s="112"/>
      <c r="AT635" s="112"/>
    </row>
    <row r="636" ht="15.75" customHeight="1">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c r="AH636" s="112"/>
      <c r="AI636" s="112"/>
      <c r="AJ636" s="112"/>
      <c r="AK636" s="112"/>
      <c r="AL636" s="112"/>
      <c r="AM636" s="112"/>
      <c r="AN636" s="112"/>
      <c r="AO636" s="112"/>
      <c r="AP636" s="112"/>
      <c r="AQ636" s="112"/>
      <c r="AR636" s="112"/>
      <c r="AS636" s="112"/>
      <c r="AT636" s="112"/>
    </row>
    <row r="637" ht="15.75" customHeight="1">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c r="AH637" s="112"/>
      <c r="AI637" s="112"/>
      <c r="AJ637" s="112"/>
      <c r="AK637" s="112"/>
      <c r="AL637" s="112"/>
      <c r="AM637" s="112"/>
      <c r="AN637" s="112"/>
      <c r="AO637" s="112"/>
      <c r="AP637" s="112"/>
      <c r="AQ637" s="112"/>
      <c r="AR637" s="112"/>
      <c r="AS637" s="112"/>
      <c r="AT637" s="112"/>
    </row>
    <row r="638" ht="15.75" customHeight="1">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c r="AH638" s="112"/>
      <c r="AI638" s="112"/>
      <c r="AJ638" s="112"/>
      <c r="AK638" s="112"/>
      <c r="AL638" s="112"/>
      <c r="AM638" s="112"/>
      <c r="AN638" s="112"/>
      <c r="AO638" s="112"/>
      <c r="AP638" s="112"/>
      <c r="AQ638" s="112"/>
      <c r="AR638" s="112"/>
      <c r="AS638" s="112"/>
      <c r="AT638" s="112"/>
    </row>
    <row r="639" ht="15.75" customHeight="1">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c r="AH639" s="112"/>
      <c r="AI639" s="112"/>
      <c r="AJ639" s="112"/>
      <c r="AK639" s="112"/>
      <c r="AL639" s="112"/>
      <c r="AM639" s="112"/>
      <c r="AN639" s="112"/>
      <c r="AO639" s="112"/>
      <c r="AP639" s="112"/>
      <c r="AQ639" s="112"/>
      <c r="AR639" s="112"/>
      <c r="AS639" s="112"/>
      <c r="AT639" s="112"/>
    </row>
    <row r="640" ht="15.75" customHeight="1">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c r="AH640" s="112"/>
      <c r="AI640" s="112"/>
      <c r="AJ640" s="112"/>
      <c r="AK640" s="112"/>
      <c r="AL640" s="112"/>
      <c r="AM640" s="112"/>
      <c r="AN640" s="112"/>
      <c r="AO640" s="112"/>
      <c r="AP640" s="112"/>
      <c r="AQ640" s="112"/>
      <c r="AR640" s="112"/>
      <c r="AS640" s="112"/>
      <c r="AT640" s="112"/>
    </row>
    <row r="641" ht="15.75" customHeight="1">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c r="AH641" s="112"/>
      <c r="AI641" s="112"/>
      <c r="AJ641" s="112"/>
      <c r="AK641" s="112"/>
      <c r="AL641" s="112"/>
      <c r="AM641" s="112"/>
      <c r="AN641" s="112"/>
      <c r="AO641" s="112"/>
      <c r="AP641" s="112"/>
      <c r="AQ641" s="112"/>
      <c r="AR641" s="112"/>
      <c r="AS641" s="112"/>
      <c r="AT641" s="112"/>
    </row>
    <row r="642" ht="15.75" customHeight="1">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c r="AH642" s="112"/>
      <c r="AI642" s="112"/>
      <c r="AJ642" s="112"/>
      <c r="AK642" s="112"/>
      <c r="AL642" s="112"/>
      <c r="AM642" s="112"/>
      <c r="AN642" s="112"/>
      <c r="AO642" s="112"/>
      <c r="AP642" s="112"/>
      <c r="AQ642" s="112"/>
      <c r="AR642" s="112"/>
      <c r="AS642" s="112"/>
      <c r="AT642" s="112"/>
    </row>
    <row r="643" ht="15.75" customHeight="1">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c r="AH643" s="112"/>
      <c r="AI643" s="112"/>
      <c r="AJ643" s="112"/>
      <c r="AK643" s="112"/>
      <c r="AL643" s="112"/>
      <c r="AM643" s="112"/>
      <c r="AN643" s="112"/>
      <c r="AO643" s="112"/>
      <c r="AP643" s="112"/>
      <c r="AQ643" s="112"/>
      <c r="AR643" s="112"/>
      <c r="AS643" s="112"/>
      <c r="AT643" s="112"/>
    </row>
    <row r="644" ht="15.75" customHeight="1">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c r="AH644" s="112"/>
      <c r="AI644" s="112"/>
      <c r="AJ644" s="112"/>
      <c r="AK644" s="112"/>
      <c r="AL644" s="112"/>
      <c r="AM644" s="112"/>
      <c r="AN644" s="112"/>
      <c r="AO644" s="112"/>
      <c r="AP644" s="112"/>
      <c r="AQ644" s="112"/>
      <c r="AR644" s="112"/>
      <c r="AS644" s="112"/>
      <c r="AT644" s="112"/>
    </row>
    <row r="645" ht="15.75" customHeight="1">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c r="AH645" s="112"/>
      <c r="AI645" s="112"/>
      <c r="AJ645" s="112"/>
      <c r="AK645" s="112"/>
      <c r="AL645" s="112"/>
      <c r="AM645" s="112"/>
      <c r="AN645" s="112"/>
      <c r="AO645" s="112"/>
      <c r="AP645" s="112"/>
      <c r="AQ645" s="112"/>
      <c r="AR645" s="112"/>
      <c r="AS645" s="112"/>
      <c r="AT645" s="112"/>
    </row>
    <row r="646" ht="15.75" customHeight="1">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c r="AH646" s="112"/>
      <c r="AI646" s="112"/>
      <c r="AJ646" s="112"/>
      <c r="AK646" s="112"/>
      <c r="AL646" s="112"/>
      <c r="AM646" s="112"/>
      <c r="AN646" s="112"/>
      <c r="AO646" s="112"/>
      <c r="AP646" s="112"/>
      <c r="AQ646" s="112"/>
      <c r="AR646" s="112"/>
      <c r="AS646" s="112"/>
      <c r="AT646" s="112"/>
    </row>
    <row r="647" ht="15.75" customHeight="1">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c r="AH647" s="112"/>
      <c r="AI647" s="112"/>
      <c r="AJ647" s="112"/>
      <c r="AK647" s="112"/>
      <c r="AL647" s="112"/>
      <c r="AM647" s="112"/>
      <c r="AN647" s="112"/>
      <c r="AO647" s="112"/>
      <c r="AP647" s="112"/>
      <c r="AQ647" s="112"/>
      <c r="AR647" s="112"/>
      <c r="AS647" s="112"/>
      <c r="AT647" s="112"/>
    </row>
    <row r="648" ht="15.75" customHeight="1">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c r="AH648" s="112"/>
      <c r="AI648" s="112"/>
      <c r="AJ648" s="112"/>
      <c r="AK648" s="112"/>
      <c r="AL648" s="112"/>
      <c r="AM648" s="112"/>
      <c r="AN648" s="112"/>
      <c r="AO648" s="112"/>
      <c r="AP648" s="112"/>
      <c r="AQ648" s="112"/>
      <c r="AR648" s="112"/>
      <c r="AS648" s="112"/>
      <c r="AT648" s="112"/>
    </row>
    <row r="649" ht="15.75" customHeight="1">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c r="AH649" s="112"/>
      <c r="AI649" s="112"/>
      <c r="AJ649" s="112"/>
      <c r="AK649" s="112"/>
      <c r="AL649" s="112"/>
      <c r="AM649" s="112"/>
      <c r="AN649" s="112"/>
      <c r="AO649" s="112"/>
      <c r="AP649" s="112"/>
      <c r="AQ649" s="112"/>
      <c r="AR649" s="112"/>
      <c r="AS649" s="112"/>
      <c r="AT649" s="112"/>
    </row>
    <row r="650" ht="15.75" customHeight="1">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c r="AH650" s="112"/>
      <c r="AI650" s="112"/>
      <c r="AJ650" s="112"/>
      <c r="AK650" s="112"/>
      <c r="AL650" s="112"/>
      <c r="AM650" s="112"/>
      <c r="AN650" s="112"/>
      <c r="AO650" s="112"/>
      <c r="AP650" s="112"/>
      <c r="AQ650" s="112"/>
      <c r="AR650" s="112"/>
      <c r="AS650" s="112"/>
      <c r="AT650" s="112"/>
    </row>
    <row r="651" ht="15.75" customHeight="1">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c r="AH651" s="112"/>
      <c r="AI651" s="112"/>
      <c r="AJ651" s="112"/>
      <c r="AK651" s="112"/>
      <c r="AL651" s="112"/>
      <c r="AM651" s="112"/>
      <c r="AN651" s="112"/>
      <c r="AO651" s="112"/>
      <c r="AP651" s="112"/>
      <c r="AQ651" s="112"/>
      <c r="AR651" s="112"/>
      <c r="AS651" s="112"/>
      <c r="AT651" s="112"/>
    </row>
    <row r="652" ht="15.75" customHeight="1">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c r="AH652" s="112"/>
      <c r="AI652" s="112"/>
      <c r="AJ652" s="112"/>
      <c r="AK652" s="112"/>
      <c r="AL652" s="112"/>
      <c r="AM652" s="112"/>
      <c r="AN652" s="112"/>
      <c r="AO652" s="112"/>
      <c r="AP652" s="112"/>
      <c r="AQ652" s="112"/>
      <c r="AR652" s="112"/>
      <c r="AS652" s="112"/>
      <c r="AT652" s="112"/>
    </row>
    <row r="653" ht="15.75" customHeight="1">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c r="AH653" s="112"/>
      <c r="AI653" s="112"/>
      <c r="AJ653" s="112"/>
      <c r="AK653" s="112"/>
      <c r="AL653" s="112"/>
      <c r="AM653" s="112"/>
      <c r="AN653" s="112"/>
      <c r="AO653" s="112"/>
      <c r="AP653" s="112"/>
      <c r="AQ653" s="112"/>
      <c r="AR653" s="112"/>
      <c r="AS653" s="112"/>
      <c r="AT653" s="112"/>
    </row>
    <row r="654" ht="15.75" customHeight="1">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c r="AH654" s="112"/>
      <c r="AI654" s="112"/>
      <c r="AJ654" s="112"/>
      <c r="AK654" s="112"/>
      <c r="AL654" s="112"/>
      <c r="AM654" s="112"/>
      <c r="AN654" s="112"/>
      <c r="AO654" s="112"/>
      <c r="AP654" s="112"/>
      <c r="AQ654" s="112"/>
      <c r="AR654" s="112"/>
      <c r="AS654" s="112"/>
      <c r="AT654" s="112"/>
    </row>
    <row r="655" ht="15.75" customHeight="1">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c r="AH655" s="112"/>
      <c r="AI655" s="112"/>
      <c r="AJ655" s="112"/>
      <c r="AK655" s="112"/>
      <c r="AL655" s="112"/>
      <c r="AM655" s="112"/>
      <c r="AN655" s="112"/>
      <c r="AO655" s="112"/>
      <c r="AP655" s="112"/>
      <c r="AQ655" s="112"/>
      <c r="AR655" s="112"/>
      <c r="AS655" s="112"/>
      <c r="AT655" s="112"/>
    </row>
    <row r="656" ht="15.75" customHeight="1">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c r="AH656" s="112"/>
      <c r="AI656" s="112"/>
      <c r="AJ656" s="112"/>
      <c r="AK656" s="112"/>
      <c r="AL656" s="112"/>
      <c r="AM656" s="112"/>
      <c r="AN656" s="112"/>
      <c r="AO656" s="112"/>
      <c r="AP656" s="112"/>
      <c r="AQ656" s="112"/>
      <c r="AR656" s="112"/>
      <c r="AS656" s="112"/>
      <c r="AT656" s="112"/>
    </row>
    <row r="657" ht="15.75" customHeight="1">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c r="AH657" s="112"/>
      <c r="AI657" s="112"/>
      <c r="AJ657" s="112"/>
      <c r="AK657" s="112"/>
      <c r="AL657" s="112"/>
      <c r="AM657" s="112"/>
      <c r="AN657" s="112"/>
      <c r="AO657" s="112"/>
      <c r="AP657" s="112"/>
      <c r="AQ657" s="112"/>
      <c r="AR657" s="112"/>
      <c r="AS657" s="112"/>
      <c r="AT657" s="112"/>
    </row>
    <row r="658" ht="15.75" customHeight="1">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c r="AH658" s="112"/>
      <c r="AI658" s="112"/>
      <c r="AJ658" s="112"/>
      <c r="AK658" s="112"/>
      <c r="AL658" s="112"/>
      <c r="AM658" s="112"/>
      <c r="AN658" s="112"/>
      <c r="AO658" s="112"/>
      <c r="AP658" s="112"/>
      <c r="AQ658" s="112"/>
      <c r="AR658" s="112"/>
      <c r="AS658" s="112"/>
      <c r="AT658" s="112"/>
    </row>
    <row r="659" ht="15.75" customHeight="1">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c r="AH659" s="112"/>
      <c r="AI659" s="112"/>
      <c r="AJ659" s="112"/>
      <c r="AK659" s="112"/>
      <c r="AL659" s="112"/>
      <c r="AM659" s="112"/>
      <c r="AN659" s="112"/>
      <c r="AO659" s="112"/>
      <c r="AP659" s="112"/>
      <c r="AQ659" s="112"/>
      <c r="AR659" s="112"/>
      <c r="AS659" s="112"/>
      <c r="AT659" s="112"/>
    </row>
    <row r="660" ht="15.75" customHeight="1">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c r="AH660" s="112"/>
      <c r="AI660" s="112"/>
      <c r="AJ660" s="112"/>
      <c r="AK660" s="112"/>
      <c r="AL660" s="112"/>
      <c r="AM660" s="112"/>
      <c r="AN660" s="112"/>
      <c r="AO660" s="112"/>
      <c r="AP660" s="112"/>
      <c r="AQ660" s="112"/>
      <c r="AR660" s="112"/>
      <c r="AS660" s="112"/>
      <c r="AT660" s="112"/>
    </row>
    <row r="661" ht="15.75" customHeight="1">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c r="AH661" s="112"/>
      <c r="AI661" s="112"/>
      <c r="AJ661" s="112"/>
      <c r="AK661" s="112"/>
      <c r="AL661" s="112"/>
      <c r="AM661" s="112"/>
      <c r="AN661" s="112"/>
      <c r="AO661" s="112"/>
      <c r="AP661" s="112"/>
      <c r="AQ661" s="112"/>
      <c r="AR661" s="112"/>
      <c r="AS661" s="112"/>
      <c r="AT661" s="112"/>
    </row>
    <row r="662" ht="15.75" customHeight="1">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c r="AH662" s="112"/>
      <c r="AI662" s="112"/>
      <c r="AJ662" s="112"/>
      <c r="AK662" s="112"/>
      <c r="AL662" s="112"/>
      <c r="AM662" s="112"/>
      <c r="AN662" s="112"/>
      <c r="AO662" s="112"/>
      <c r="AP662" s="112"/>
      <c r="AQ662" s="112"/>
      <c r="AR662" s="112"/>
      <c r="AS662" s="112"/>
      <c r="AT662" s="112"/>
    </row>
    <row r="663" ht="15.75" customHeight="1">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c r="AH663" s="112"/>
      <c r="AI663" s="112"/>
      <c r="AJ663" s="112"/>
      <c r="AK663" s="112"/>
      <c r="AL663" s="112"/>
      <c r="AM663" s="112"/>
      <c r="AN663" s="112"/>
      <c r="AO663" s="112"/>
      <c r="AP663" s="112"/>
      <c r="AQ663" s="112"/>
      <c r="AR663" s="112"/>
      <c r="AS663" s="112"/>
      <c r="AT663" s="112"/>
    </row>
    <row r="664" ht="15.75" customHeight="1">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c r="AH664" s="112"/>
      <c r="AI664" s="112"/>
      <c r="AJ664" s="112"/>
      <c r="AK664" s="112"/>
      <c r="AL664" s="112"/>
      <c r="AM664" s="112"/>
      <c r="AN664" s="112"/>
      <c r="AO664" s="112"/>
      <c r="AP664" s="112"/>
      <c r="AQ664" s="112"/>
      <c r="AR664" s="112"/>
      <c r="AS664" s="112"/>
      <c r="AT664" s="112"/>
    </row>
    <row r="665" ht="15.75" customHeight="1">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c r="AH665" s="112"/>
      <c r="AI665" s="112"/>
      <c r="AJ665" s="112"/>
      <c r="AK665" s="112"/>
      <c r="AL665" s="112"/>
      <c r="AM665" s="112"/>
      <c r="AN665" s="112"/>
      <c r="AO665" s="112"/>
      <c r="AP665" s="112"/>
      <c r="AQ665" s="112"/>
      <c r="AR665" s="112"/>
      <c r="AS665" s="112"/>
      <c r="AT665" s="112"/>
    </row>
    <row r="666" ht="15.75" customHeight="1">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c r="AH666" s="112"/>
      <c r="AI666" s="112"/>
      <c r="AJ666" s="112"/>
      <c r="AK666" s="112"/>
      <c r="AL666" s="112"/>
      <c r="AM666" s="112"/>
      <c r="AN666" s="112"/>
      <c r="AO666" s="112"/>
      <c r="AP666" s="112"/>
      <c r="AQ666" s="112"/>
      <c r="AR666" s="112"/>
      <c r="AS666" s="112"/>
      <c r="AT666" s="112"/>
    </row>
    <row r="667" ht="15.75" customHeight="1">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c r="AH667" s="112"/>
      <c r="AI667" s="112"/>
      <c r="AJ667" s="112"/>
      <c r="AK667" s="112"/>
      <c r="AL667" s="112"/>
      <c r="AM667" s="112"/>
      <c r="AN667" s="112"/>
      <c r="AO667" s="112"/>
      <c r="AP667" s="112"/>
      <c r="AQ667" s="112"/>
      <c r="AR667" s="112"/>
      <c r="AS667" s="112"/>
      <c r="AT667" s="112"/>
    </row>
    <row r="668" ht="15.75" customHeight="1">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c r="AH668" s="112"/>
      <c r="AI668" s="112"/>
      <c r="AJ668" s="112"/>
      <c r="AK668" s="112"/>
      <c r="AL668" s="112"/>
      <c r="AM668" s="112"/>
      <c r="AN668" s="112"/>
      <c r="AO668" s="112"/>
      <c r="AP668" s="112"/>
      <c r="AQ668" s="112"/>
      <c r="AR668" s="112"/>
      <c r="AS668" s="112"/>
      <c r="AT668" s="112"/>
    </row>
    <row r="669" ht="15.75" customHeight="1">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c r="AH669" s="112"/>
      <c r="AI669" s="112"/>
      <c r="AJ669" s="112"/>
      <c r="AK669" s="112"/>
      <c r="AL669" s="112"/>
      <c r="AM669" s="112"/>
      <c r="AN669" s="112"/>
      <c r="AO669" s="112"/>
      <c r="AP669" s="112"/>
      <c r="AQ669" s="112"/>
      <c r="AR669" s="112"/>
      <c r="AS669" s="112"/>
      <c r="AT669" s="112"/>
    </row>
    <row r="670" ht="15.75" customHeight="1">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c r="AH670" s="112"/>
      <c r="AI670" s="112"/>
      <c r="AJ670" s="112"/>
      <c r="AK670" s="112"/>
      <c r="AL670" s="112"/>
      <c r="AM670" s="112"/>
      <c r="AN670" s="112"/>
      <c r="AO670" s="112"/>
      <c r="AP670" s="112"/>
      <c r="AQ670" s="112"/>
      <c r="AR670" s="112"/>
      <c r="AS670" s="112"/>
      <c r="AT670" s="112"/>
    </row>
    <row r="671" ht="15.75" customHeight="1">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c r="AH671" s="112"/>
      <c r="AI671" s="112"/>
      <c r="AJ671" s="112"/>
      <c r="AK671" s="112"/>
      <c r="AL671" s="112"/>
      <c r="AM671" s="112"/>
      <c r="AN671" s="112"/>
      <c r="AO671" s="112"/>
      <c r="AP671" s="112"/>
      <c r="AQ671" s="112"/>
      <c r="AR671" s="112"/>
      <c r="AS671" s="112"/>
      <c r="AT671" s="112"/>
    </row>
    <row r="672" ht="15.75" customHeight="1">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c r="AH672" s="112"/>
      <c r="AI672" s="112"/>
      <c r="AJ672" s="112"/>
      <c r="AK672" s="112"/>
      <c r="AL672" s="112"/>
      <c r="AM672" s="112"/>
      <c r="AN672" s="112"/>
      <c r="AO672" s="112"/>
      <c r="AP672" s="112"/>
      <c r="AQ672" s="112"/>
      <c r="AR672" s="112"/>
      <c r="AS672" s="112"/>
      <c r="AT672" s="112"/>
    </row>
    <row r="673" ht="15.75" customHeight="1">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c r="AH673" s="112"/>
      <c r="AI673" s="112"/>
      <c r="AJ673" s="112"/>
      <c r="AK673" s="112"/>
      <c r="AL673" s="112"/>
      <c r="AM673" s="112"/>
      <c r="AN673" s="112"/>
      <c r="AO673" s="112"/>
      <c r="AP673" s="112"/>
      <c r="AQ673" s="112"/>
      <c r="AR673" s="112"/>
      <c r="AS673" s="112"/>
      <c r="AT673" s="112"/>
    </row>
    <row r="674" ht="15.75" customHeight="1">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c r="AH674" s="112"/>
      <c r="AI674" s="112"/>
      <c r="AJ674" s="112"/>
      <c r="AK674" s="112"/>
      <c r="AL674" s="112"/>
      <c r="AM674" s="112"/>
      <c r="AN674" s="112"/>
      <c r="AO674" s="112"/>
      <c r="AP674" s="112"/>
      <c r="AQ674" s="112"/>
      <c r="AR674" s="112"/>
      <c r="AS674" s="112"/>
      <c r="AT674" s="112"/>
    </row>
    <row r="675" ht="15.75" customHeight="1">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c r="AH675" s="112"/>
      <c r="AI675" s="112"/>
      <c r="AJ675" s="112"/>
      <c r="AK675" s="112"/>
      <c r="AL675" s="112"/>
      <c r="AM675" s="112"/>
      <c r="AN675" s="112"/>
      <c r="AO675" s="112"/>
      <c r="AP675" s="112"/>
      <c r="AQ675" s="112"/>
      <c r="AR675" s="112"/>
      <c r="AS675" s="112"/>
      <c r="AT675" s="112"/>
    </row>
    <row r="676" ht="15.75" customHeight="1">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c r="AH676" s="112"/>
      <c r="AI676" s="112"/>
      <c r="AJ676" s="112"/>
      <c r="AK676" s="112"/>
      <c r="AL676" s="112"/>
      <c r="AM676" s="112"/>
      <c r="AN676" s="112"/>
      <c r="AO676" s="112"/>
      <c r="AP676" s="112"/>
      <c r="AQ676" s="112"/>
      <c r="AR676" s="112"/>
      <c r="AS676" s="112"/>
      <c r="AT676" s="112"/>
    </row>
    <row r="677" ht="15.75" customHeight="1">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c r="AH677" s="112"/>
      <c r="AI677" s="112"/>
      <c r="AJ677" s="112"/>
      <c r="AK677" s="112"/>
      <c r="AL677" s="112"/>
      <c r="AM677" s="112"/>
      <c r="AN677" s="112"/>
      <c r="AO677" s="112"/>
      <c r="AP677" s="112"/>
      <c r="AQ677" s="112"/>
      <c r="AR677" s="112"/>
      <c r="AS677" s="112"/>
      <c r="AT677" s="112"/>
    </row>
    <row r="678" ht="15.75" customHeight="1">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c r="AH678" s="112"/>
      <c r="AI678" s="112"/>
      <c r="AJ678" s="112"/>
      <c r="AK678" s="112"/>
      <c r="AL678" s="112"/>
      <c r="AM678" s="112"/>
      <c r="AN678" s="112"/>
      <c r="AO678" s="112"/>
      <c r="AP678" s="112"/>
      <c r="AQ678" s="112"/>
      <c r="AR678" s="112"/>
      <c r="AS678" s="112"/>
      <c r="AT678" s="112"/>
    </row>
    <row r="679" ht="15.75" customHeight="1">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c r="AH679" s="112"/>
      <c r="AI679" s="112"/>
      <c r="AJ679" s="112"/>
      <c r="AK679" s="112"/>
      <c r="AL679" s="112"/>
      <c r="AM679" s="112"/>
      <c r="AN679" s="112"/>
      <c r="AO679" s="112"/>
      <c r="AP679" s="112"/>
      <c r="AQ679" s="112"/>
      <c r="AR679" s="112"/>
      <c r="AS679" s="112"/>
      <c r="AT679" s="112"/>
    </row>
    <row r="680" ht="15.75" customHeight="1">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c r="AH680" s="112"/>
      <c r="AI680" s="112"/>
      <c r="AJ680" s="112"/>
      <c r="AK680" s="112"/>
      <c r="AL680" s="112"/>
      <c r="AM680" s="112"/>
      <c r="AN680" s="112"/>
      <c r="AO680" s="112"/>
      <c r="AP680" s="112"/>
      <c r="AQ680" s="112"/>
      <c r="AR680" s="112"/>
      <c r="AS680" s="112"/>
      <c r="AT680" s="112"/>
    </row>
    <row r="681" ht="15.75" customHeight="1">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c r="AH681" s="112"/>
      <c r="AI681" s="112"/>
      <c r="AJ681" s="112"/>
      <c r="AK681" s="112"/>
      <c r="AL681" s="112"/>
      <c r="AM681" s="112"/>
      <c r="AN681" s="112"/>
      <c r="AO681" s="112"/>
      <c r="AP681" s="112"/>
      <c r="AQ681" s="112"/>
      <c r="AR681" s="112"/>
      <c r="AS681" s="112"/>
      <c r="AT681" s="112"/>
    </row>
    <row r="682" ht="15.75" customHeight="1">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c r="AH682" s="112"/>
      <c r="AI682" s="112"/>
      <c r="AJ682" s="112"/>
      <c r="AK682" s="112"/>
      <c r="AL682" s="112"/>
      <c r="AM682" s="112"/>
      <c r="AN682" s="112"/>
      <c r="AO682" s="112"/>
      <c r="AP682" s="112"/>
      <c r="AQ682" s="112"/>
      <c r="AR682" s="112"/>
      <c r="AS682" s="112"/>
      <c r="AT682" s="112"/>
    </row>
    <row r="683" ht="15.75" customHeight="1">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c r="AH683" s="112"/>
      <c r="AI683" s="112"/>
      <c r="AJ683" s="112"/>
      <c r="AK683" s="112"/>
      <c r="AL683" s="112"/>
      <c r="AM683" s="112"/>
      <c r="AN683" s="112"/>
      <c r="AO683" s="112"/>
      <c r="AP683" s="112"/>
      <c r="AQ683" s="112"/>
      <c r="AR683" s="112"/>
      <c r="AS683" s="112"/>
      <c r="AT683" s="112"/>
    </row>
    <row r="684" ht="15.75" customHeight="1">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c r="AH684" s="112"/>
      <c r="AI684" s="112"/>
      <c r="AJ684" s="112"/>
      <c r="AK684" s="112"/>
      <c r="AL684" s="112"/>
      <c r="AM684" s="112"/>
      <c r="AN684" s="112"/>
      <c r="AO684" s="112"/>
      <c r="AP684" s="112"/>
      <c r="AQ684" s="112"/>
      <c r="AR684" s="112"/>
      <c r="AS684" s="112"/>
      <c r="AT684" s="112"/>
    </row>
    <row r="685" ht="15.75" customHeight="1">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c r="AH685" s="112"/>
      <c r="AI685" s="112"/>
      <c r="AJ685" s="112"/>
      <c r="AK685" s="112"/>
      <c r="AL685" s="112"/>
      <c r="AM685" s="112"/>
      <c r="AN685" s="112"/>
      <c r="AO685" s="112"/>
      <c r="AP685" s="112"/>
      <c r="AQ685" s="112"/>
      <c r="AR685" s="112"/>
      <c r="AS685" s="112"/>
      <c r="AT685" s="112"/>
    </row>
    <row r="686" ht="15.75" customHeight="1">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c r="AH686" s="112"/>
      <c r="AI686" s="112"/>
      <c r="AJ686" s="112"/>
      <c r="AK686" s="112"/>
      <c r="AL686" s="112"/>
      <c r="AM686" s="112"/>
      <c r="AN686" s="112"/>
      <c r="AO686" s="112"/>
      <c r="AP686" s="112"/>
      <c r="AQ686" s="112"/>
      <c r="AR686" s="112"/>
      <c r="AS686" s="112"/>
      <c r="AT686" s="112"/>
    </row>
    <row r="687" ht="15.75" customHeight="1">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c r="AH687" s="112"/>
      <c r="AI687" s="112"/>
      <c r="AJ687" s="112"/>
      <c r="AK687" s="112"/>
      <c r="AL687" s="112"/>
      <c r="AM687" s="112"/>
      <c r="AN687" s="112"/>
      <c r="AO687" s="112"/>
      <c r="AP687" s="112"/>
      <c r="AQ687" s="112"/>
      <c r="AR687" s="112"/>
      <c r="AS687" s="112"/>
      <c r="AT687" s="112"/>
    </row>
    <row r="688" ht="15.75" customHeight="1">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c r="AH688" s="112"/>
      <c r="AI688" s="112"/>
      <c r="AJ688" s="112"/>
      <c r="AK688" s="112"/>
      <c r="AL688" s="112"/>
      <c r="AM688" s="112"/>
      <c r="AN688" s="112"/>
      <c r="AO688" s="112"/>
      <c r="AP688" s="112"/>
      <c r="AQ688" s="112"/>
      <c r="AR688" s="112"/>
      <c r="AS688" s="112"/>
      <c r="AT688" s="112"/>
    </row>
    <row r="689" ht="15.75" customHeight="1">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c r="AH689" s="112"/>
      <c r="AI689" s="112"/>
      <c r="AJ689" s="112"/>
      <c r="AK689" s="112"/>
      <c r="AL689" s="112"/>
      <c r="AM689" s="112"/>
      <c r="AN689" s="112"/>
      <c r="AO689" s="112"/>
      <c r="AP689" s="112"/>
      <c r="AQ689" s="112"/>
      <c r="AR689" s="112"/>
      <c r="AS689" s="112"/>
      <c r="AT689" s="112"/>
    </row>
    <row r="690" ht="15.75" customHeight="1">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c r="AH690" s="112"/>
      <c r="AI690" s="112"/>
      <c r="AJ690" s="112"/>
      <c r="AK690" s="112"/>
      <c r="AL690" s="112"/>
      <c r="AM690" s="112"/>
      <c r="AN690" s="112"/>
      <c r="AO690" s="112"/>
      <c r="AP690" s="112"/>
      <c r="AQ690" s="112"/>
      <c r="AR690" s="112"/>
      <c r="AS690" s="112"/>
      <c r="AT690" s="112"/>
    </row>
    <row r="691" ht="15.75" customHeight="1">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c r="AH691" s="112"/>
      <c r="AI691" s="112"/>
      <c r="AJ691" s="112"/>
      <c r="AK691" s="112"/>
      <c r="AL691" s="112"/>
      <c r="AM691" s="112"/>
      <c r="AN691" s="112"/>
      <c r="AO691" s="112"/>
      <c r="AP691" s="112"/>
      <c r="AQ691" s="112"/>
      <c r="AR691" s="112"/>
      <c r="AS691" s="112"/>
      <c r="AT691" s="112"/>
    </row>
    <row r="692" ht="15.75" customHeight="1">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c r="AH692" s="112"/>
      <c r="AI692" s="112"/>
      <c r="AJ692" s="112"/>
      <c r="AK692" s="112"/>
      <c r="AL692" s="112"/>
      <c r="AM692" s="112"/>
      <c r="AN692" s="112"/>
      <c r="AO692" s="112"/>
      <c r="AP692" s="112"/>
      <c r="AQ692" s="112"/>
      <c r="AR692" s="112"/>
      <c r="AS692" s="112"/>
      <c r="AT692" s="112"/>
    </row>
    <row r="693" ht="15.75" customHeight="1">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c r="AH693" s="112"/>
      <c r="AI693" s="112"/>
      <c r="AJ693" s="112"/>
      <c r="AK693" s="112"/>
      <c r="AL693" s="112"/>
      <c r="AM693" s="112"/>
      <c r="AN693" s="112"/>
      <c r="AO693" s="112"/>
      <c r="AP693" s="112"/>
      <c r="AQ693" s="112"/>
      <c r="AR693" s="112"/>
      <c r="AS693" s="112"/>
      <c r="AT693" s="112"/>
    </row>
    <row r="694" ht="15.75" customHeight="1">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c r="AH694" s="112"/>
      <c r="AI694" s="112"/>
      <c r="AJ694" s="112"/>
      <c r="AK694" s="112"/>
      <c r="AL694" s="112"/>
      <c r="AM694" s="112"/>
      <c r="AN694" s="112"/>
      <c r="AO694" s="112"/>
      <c r="AP694" s="112"/>
      <c r="AQ694" s="112"/>
      <c r="AR694" s="112"/>
      <c r="AS694" s="112"/>
      <c r="AT694" s="112"/>
    </row>
    <row r="695" ht="15.75" customHeight="1">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c r="AH695" s="112"/>
      <c r="AI695" s="112"/>
      <c r="AJ695" s="112"/>
      <c r="AK695" s="112"/>
      <c r="AL695" s="112"/>
      <c r="AM695" s="112"/>
      <c r="AN695" s="112"/>
      <c r="AO695" s="112"/>
      <c r="AP695" s="112"/>
      <c r="AQ695" s="112"/>
      <c r="AR695" s="112"/>
      <c r="AS695" s="112"/>
      <c r="AT695" s="112"/>
    </row>
    <row r="696" ht="15.75" customHeight="1">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c r="AH696" s="112"/>
      <c r="AI696" s="112"/>
      <c r="AJ696" s="112"/>
      <c r="AK696" s="112"/>
      <c r="AL696" s="112"/>
      <c r="AM696" s="112"/>
      <c r="AN696" s="112"/>
      <c r="AO696" s="112"/>
      <c r="AP696" s="112"/>
      <c r="AQ696" s="112"/>
      <c r="AR696" s="112"/>
      <c r="AS696" s="112"/>
      <c r="AT696" s="112"/>
    </row>
    <row r="697" ht="15.75" customHeight="1">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c r="AH697" s="112"/>
      <c r="AI697" s="112"/>
      <c r="AJ697" s="112"/>
      <c r="AK697" s="112"/>
      <c r="AL697" s="112"/>
      <c r="AM697" s="112"/>
      <c r="AN697" s="112"/>
      <c r="AO697" s="112"/>
      <c r="AP697" s="112"/>
      <c r="AQ697" s="112"/>
      <c r="AR697" s="112"/>
      <c r="AS697" s="112"/>
      <c r="AT697" s="112"/>
    </row>
    <row r="698" ht="15.75" customHeight="1">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c r="AH698" s="112"/>
      <c r="AI698" s="112"/>
      <c r="AJ698" s="112"/>
      <c r="AK698" s="112"/>
      <c r="AL698" s="112"/>
      <c r="AM698" s="112"/>
      <c r="AN698" s="112"/>
      <c r="AO698" s="112"/>
      <c r="AP698" s="112"/>
      <c r="AQ698" s="112"/>
      <c r="AR698" s="112"/>
      <c r="AS698" s="112"/>
      <c r="AT698" s="112"/>
    </row>
    <row r="699" ht="15.75" customHeight="1">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c r="AH699" s="112"/>
      <c r="AI699" s="112"/>
      <c r="AJ699" s="112"/>
      <c r="AK699" s="112"/>
      <c r="AL699" s="112"/>
      <c r="AM699" s="112"/>
      <c r="AN699" s="112"/>
      <c r="AO699" s="112"/>
      <c r="AP699" s="112"/>
      <c r="AQ699" s="112"/>
      <c r="AR699" s="112"/>
      <c r="AS699" s="112"/>
      <c r="AT699" s="112"/>
    </row>
    <row r="700" ht="15.75" customHeight="1">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c r="AH700" s="112"/>
      <c r="AI700" s="112"/>
      <c r="AJ700" s="112"/>
      <c r="AK700" s="112"/>
      <c r="AL700" s="112"/>
      <c r="AM700" s="112"/>
      <c r="AN700" s="112"/>
      <c r="AO700" s="112"/>
      <c r="AP700" s="112"/>
      <c r="AQ700" s="112"/>
      <c r="AR700" s="112"/>
      <c r="AS700" s="112"/>
      <c r="AT700" s="112"/>
    </row>
    <row r="701" ht="15.75" customHeight="1">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c r="AH701" s="112"/>
      <c r="AI701" s="112"/>
      <c r="AJ701" s="112"/>
      <c r="AK701" s="112"/>
      <c r="AL701" s="112"/>
      <c r="AM701" s="112"/>
      <c r="AN701" s="112"/>
      <c r="AO701" s="112"/>
      <c r="AP701" s="112"/>
      <c r="AQ701" s="112"/>
      <c r="AR701" s="112"/>
      <c r="AS701" s="112"/>
      <c r="AT701" s="112"/>
    </row>
    <row r="702" ht="15.75" customHeight="1">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c r="AH702" s="112"/>
      <c r="AI702" s="112"/>
      <c r="AJ702" s="112"/>
      <c r="AK702" s="112"/>
      <c r="AL702" s="112"/>
      <c r="AM702" s="112"/>
      <c r="AN702" s="112"/>
      <c r="AO702" s="112"/>
      <c r="AP702" s="112"/>
      <c r="AQ702" s="112"/>
      <c r="AR702" s="112"/>
      <c r="AS702" s="112"/>
      <c r="AT702" s="112"/>
    </row>
    <row r="703" ht="15.75" customHeight="1">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c r="AH703" s="112"/>
      <c r="AI703" s="112"/>
      <c r="AJ703" s="112"/>
      <c r="AK703" s="112"/>
      <c r="AL703" s="112"/>
      <c r="AM703" s="112"/>
      <c r="AN703" s="112"/>
      <c r="AO703" s="112"/>
      <c r="AP703" s="112"/>
      <c r="AQ703" s="112"/>
      <c r="AR703" s="112"/>
      <c r="AS703" s="112"/>
      <c r="AT703" s="112"/>
    </row>
    <row r="704" ht="15.75" customHeight="1">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c r="AH704" s="112"/>
      <c r="AI704" s="112"/>
      <c r="AJ704" s="112"/>
      <c r="AK704" s="112"/>
      <c r="AL704" s="112"/>
      <c r="AM704" s="112"/>
      <c r="AN704" s="112"/>
      <c r="AO704" s="112"/>
      <c r="AP704" s="112"/>
      <c r="AQ704" s="112"/>
      <c r="AR704" s="112"/>
      <c r="AS704" s="112"/>
      <c r="AT704" s="112"/>
    </row>
    <row r="705" ht="15.75" customHeight="1">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c r="AH705" s="112"/>
      <c r="AI705" s="112"/>
      <c r="AJ705" s="112"/>
      <c r="AK705" s="112"/>
      <c r="AL705" s="112"/>
      <c r="AM705" s="112"/>
      <c r="AN705" s="112"/>
      <c r="AO705" s="112"/>
      <c r="AP705" s="112"/>
      <c r="AQ705" s="112"/>
      <c r="AR705" s="112"/>
      <c r="AS705" s="112"/>
      <c r="AT705" s="112"/>
    </row>
    <row r="706" ht="15.75" customHeight="1">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c r="AH706" s="112"/>
      <c r="AI706" s="112"/>
      <c r="AJ706" s="112"/>
      <c r="AK706" s="112"/>
      <c r="AL706" s="112"/>
      <c r="AM706" s="112"/>
      <c r="AN706" s="112"/>
      <c r="AO706" s="112"/>
      <c r="AP706" s="112"/>
      <c r="AQ706" s="112"/>
      <c r="AR706" s="112"/>
      <c r="AS706" s="112"/>
      <c r="AT706" s="112"/>
    </row>
    <row r="707" ht="15.75" customHeight="1">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c r="AH707" s="112"/>
      <c r="AI707" s="112"/>
      <c r="AJ707" s="112"/>
      <c r="AK707" s="112"/>
      <c r="AL707" s="112"/>
      <c r="AM707" s="112"/>
      <c r="AN707" s="112"/>
      <c r="AO707" s="112"/>
      <c r="AP707" s="112"/>
      <c r="AQ707" s="112"/>
      <c r="AR707" s="112"/>
      <c r="AS707" s="112"/>
      <c r="AT707" s="112"/>
    </row>
    <row r="708" ht="15.75" customHeight="1">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c r="AH708" s="112"/>
      <c r="AI708" s="112"/>
      <c r="AJ708" s="112"/>
      <c r="AK708" s="112"/>
      <c r="AL708" s="112"/>
      <c r="AM708" s="112"/>
      <c r="AN708" s="112"/>
      <c r="AO708" s="112"/>
      <c r="AP708" s="112"/>
      <c r="AQ708" s="112"/>
      <c r="AR708" s="112"/>
      <c r="AS708" s="112"/>
      <c r="AT708" s="112"/>
    </row>
    <row r="709" ht="15.75" customHeight="1">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c r="AH709" s="112"/>
      <c r="AI709" s="112"/>
      <c r="AJ709" s="112"/>
      <c r="AK709" s="112"/>
      <c r="AL709" s="112"/>
      <c r="AM709" s="112"/>
      <c r="AN709" s="112"/>
      <c r="AO709" s="112"/>
      <c r="AP709" s="112"/>
      <c r="AQ709" s="112"/>
      <c r="AR709" s="112"/>
      <c r="AS709" s="112"/>
      <c r="AT709" s="112"/>
    </row>
    <row r="710" ht="15.75" customHeight="1">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c r="AH710" s="112"/>
      <c r="AI710" s="112"/>
      <c r="AJ710" s="112"/>
      <c r="AK710" s="112"/>
      <c r="AL710" s="112"/>
      <c r="AM710" s="112"/>
      <c r="AN710" s="112"/>
      <c r="AO710" s="112"/>
      <c r="AP710" s="112"/>
      <c r="AQ710" s="112"/>
      <c r="AR710" s="112"/>
      <c r="AS710" s="112"/>
      <c r="AT710" s="112"/>
    </row>
    <row r="711" ht="15.75" customHeight="1">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c r="AH711" s="112"/>
      <c r="AI711" s="112"/>
      <c r="AJ711" s="112"/>
      <c r="AK711" s="112"/>
      <c r="AL711" s="112"/>
      <c r="AM711" s="112"/>
      <c r="AN711" s="112"/>
      <c r="AO711" s="112"/>
      <c r="AP711" s="112"/>
      <c r="AQ711" s="112"/>
      <c r="AR711" s="112"/>
      <c r="AS711" s="112"/>
      <c r="AT711" s="112"/>
    </row>
    <row r="712" ht="15.75" customHeight="1">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c r="AH712" s="112"/>
      <c r="AI712" s="112"/>
      <c r="AJ712" s="112"/>
      <c r="AK712" s="112"/>
      <c r="AL712" s="112"/>
      <c r="AM712" s="112"/>
      <c r="AN712" s="112"/>
      <c r="AO712" s="112"/>
      <c r="AP712" s="112"/>
      <c r="AQ712" s="112"/>
      <c r="AR712" s="112"/>
      <c r="AS712" s="112"/>
      <c r="AT712" s="112"/>
    </row>
    <row r="713" ht="15.75" customHeight="1">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c r="AH713" s="112"/>
      <c r="AI713" s="112"/>
      <c r="AJ713" s="112"/>
      <c r="AK713" s="112"/>
      <c r="AL713" s="112"/>
      <c r="AM713" s="112"/>
      <c r="AN713" s="112"/>
      <c r="AO713" s="112"/>
      <c r="AP713" s="112"/>
      <c r="AQ713" s="112"/>
      <c r="AR713" s="112"/>
      <c r="AS713" s="112"/>
      <c r="AT713" s="112"/>
    </row>
    <row r="714" ht="15.75" customHeight="1">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c r="AH714" s="112"/>
      <c r="AI714" s="112"/>
      <c r="AJ714" s="112"/>
      <c r="AK714" s="112"/>
      <c r="AL714" s="112"/>
      <c r="AM714" s="112"/>
      <c r="AN714" s="112"/>
      <c r="AO714" s="112"/>
      <c r="AP714" s="112"/>
      <c r="AQ714" s="112"/>
      <c r="AR714" s="112"/>
      <c r="AS714" s="112"/>
      <c r="AT714" s="112"/>
    </row>
    <row r="715" ht="15.75" customHeight="1">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c r="AH715" s="112"/>
      <c r="AI715" s="112"/>
      <c r="AJ715" s="112"/>
      <c r="AK715" s="112"/>
      <c r="AL715" s="112"/>
      <c r="AM715" s="112"/>
      <c r="AN715" s="112"/>
      <c r="AO715" s="112"/>
      <c r="AP715" s="112"/>
      <c r="AQ715" s="112"/>
      <c r="AR715" s="112"/>
      <c r="AS715" s="112"/>
      <c r="AT715" s="112"/>
    </row>
    <row r="716" ht="15.75" customHeight="1">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c r="AH716" s="112"/>
      <c r="AI716" s="112"/>
      <c r="AJ716" s="112"/>
      <c r="AK716" s="112"/>
      <c r="AL716" s="112"/>
      <c r="AM716" s="112"/>
      <c r="AN716" s="112"/>
      <c r="AO716" s="112"/>
      <c r="AP716" s="112"/>
      <c r="AQ716" s="112"/>
      <c r="AR716" s="112"/>
      <c r="AS716" s="112"/>
      <c r="AT716" s="112"/>
    </row>
    <row r="717" ht="15.75" customHeight="1">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c r="AH717" s="112"/>
      <c r="AI717" s="112"/>
      <c r="AJ717" s="112"/>
      <c r="AK717" s="112"/>
      <c r="AL717" s="112"/>
      <c r="AM717" s="112"/>
      <c r="AN717" s="112"/>
      <c r="AO717" s="112"/>
      <c r="AP717" s="112"/>
      <c r="AQ717" s="112"/>
      <c r="AR717" s="112"/>
      <c r="AS717" s="112"/>
      <c r="AT717" s="112"/>
    </row>
    <row r="718" ht="15.75" customHeight="1">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c r="AH718" s="112"/>
      <c r="AI718" s="112"/>
      <c r="AJ718" s="112"/>
      <c r="AK718" s="112"/>
      <c r="AL718" s="112"/>
      <c r="AM718" s="112"/>
      <c r="AN718" s="112"/>
      <c r="AO718" s="112"/>
      <c r="AP718" s="112"/>
      <c r="AQ718" s="112"/>
      <c r="AR718" s="112"/>
      <c r="AS718" s="112"/>
      <c r="AT718" s="112"/>
    </row>
    <row r="719" ht="15.75" customHeight="1">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c r="AH719" s="112"/>
      <c r="AI719" s="112"/>
      <c r="AJ719" s="112"/>
      <c r="AK719" s="112"/>
      <c r="AL719" s="112"/>
      <c r="AM719" s="112"/>
      <c r="AN719" s="112"/>
      <c r="AO719" s="112"/>
      <c r="AP719" s="112"/>
      <c r="AQ719" s="112"/>
      <c r="AR719" s="112"/>
      <c r="AS719" s="112"/>
      <c r="AT719" s="112"/>
    </row>
    <row r="720" ht="15.75" customHeight="1">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c r="AH720" s="112"/>
      <c r="AI720" s="112"/>
      <c r="AJ720" s="112"/>
      <c r="AK720" s="112"/>
      <c r="AL720" s="112"/>
      <c r="AM720" s="112"/>
      <c r="AN720" s="112"/>
      <c r="AO720" s="112"/>
      <c r="AP720" s="112"/>
      <c r="AQ720" s="112"/>
      <c r="AR720" s="112"/>
      <c r="AS720" s="112"/>
      <c r="AT720" s="112"/>
    </row>
    <row r="721" ht="15.75" customHeight="1">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c r="AH721" s="112"/>
      <c r="AI721" s="112"/>
      <c r="AJ721" s="112"/>
      <c r="AK721" s="112"/>
      <c r="AL721" s="112"/>
      <c r="AM721" s="112"/>
      <c r="AN721" s="112"/>
      <c r="AO721" s="112"/>
      <c r="AP721" s="112"/>
      <c r="AQ721" s="112"/>
      <c r="AR721" s="112"/>
      <c r="AS721" s="112"/>
      <c r="AT721" s="112"/>
    </row>
    <row r="722" ht="15.75" customHeight="1">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c r="AH722" s="112"/>
      <c r="AI722" s="112"/>
      <c r="AJ722" s="112"/>
      <c r="AK722" s="112"/>
      <c r="AL722" s="112"/>
      <c r="AM722" s="112"/>
      <c r="AN722" s="112"/>
      <c r="AO722" s="112"/>
      <c r="AP722" s="112"/>
      <c r="AQ722" s="112"/>
      <c r="AR722" s="112"/>
      <c r="AS722" s="112"/>
      <c r="AT722" s="112"/>
    </row>
    <row r="723" ht="15.75" customHeight="1">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c r="AH723" s="112"/>
      <c r="AI723" s="112"/>
      <c r="AJ723" s="112"/>
      <c r="AK723" s="112"/>
      <c r="AL723" s="112"/>
      <c r="AM723" s="112"/>
      <c r="AN723" s="112"/>
      <c r="AO723" s="112"/>
      <c r="AP723" s="112"/>
      <c r="AQ723" s="112"/>
      <c r="AR723" s="112"/>
      <c r="AS723" s="112"/>
      <c r="AT723" s="112"/>
    </row>
    <row r="724" ht="15.75" customHeight="1">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c r="AH724" s="112"/>
      <c r="AI724" s="112"/>
      <c r="AJ724" s="112"/>
      <c r="AK724" s="112"/>
      <c r="AL724" s="112"/>
      <c r="AM724" s="112"/>
      <c r="AN724" s="112"/>
      <c r="AO724" s="112"/>
      <c r="AP724" s="112"/>
      <c r="AQ724" s="112"/>
      <c r="AR724" s="112"/>
      <c r="AS724" s="112"/>
      <c r="AT724" s="112"/>
    </row>
    <row r="725" ht="15.75" customHeight="1">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c r="AH725" s="112"/>
      <c r="AI725" s="112"/>
      <c r="AJ725" s="112"/>
      <c r="AK725" s="112"/>
      <c r="AL725" s="112"/>
      <c r="AM725" s="112"/>
      <c r="AN725" s="112"/>
      <c r="AO725" s="112"/>
      <c r="AP725" s="112"/>
      <c r="AQ725" s="112"/>
      <c r="AR725" s="112"/>
      <c r="AS725" s="112"/>
      <c r="AT725" s="112"/>
    </row>
    <row r="726" ht="15.75" customHeight="1">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c r="AH726" s="112"/>
      <c r="AI726" s="112"/>
      <c r="AJ726" s="112"/>
      <c r="AK726" s="112"/>
      <c r="AL726" s="112"/>
      <c r="AM726" s="112"/>
      <c r="AN726" s="112"/>
      <c r="AO726" s="112"/>
      <c r="AP726" s="112"/>
      <c r="AQ726" s="112"/>
      <c r="AR726" s="112"/>
      <c r="AS726" s="112"/>
      <c r="AT726" s="112"/>
    </row>
    <row r="727" ht="15.75" customHeight="1">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c r="AH727" s="112"/>
      <c r="AI727" s="112"/>
      <c r="AJ727" s="112"/>
      <c r="AK727" s="112"/>
      <c r="AL727" s="112"/>
      <c r="AM727" s="112"/>
      <c r="AN727" s="112"/>
      <c r="AO727" s="112"/>
      <c r="AP727" s="112"/>
      <c r="AQ727" s="112"/>
      <c r="AR727" s="112"/>
      <c r="AS727" s="112"/>
      <c r="AT727" s="112"/>
    </row>
    <row r="728" ht="15.75" customHeight="1">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c r="AH728" s="112"/>
      <c r="AI728" s="112"/>
      <c r="AJ728" s="112"/>
      <c r="AK728" s="112"/>
      <c r="AL728" s="112"/>
      <c r="AM728" s="112"/>
      <c r="AN728" s="112"/>
      <c r="AO728" s="112"/>
      <c r="AP728" s="112"/>
      <c r="AQ728" s="112"/>
      <c r="AR728" s="112"/>
      <c r="AS728" s="112"/>
      <c r="AT728" s="112"/>
    </row>
    <row r="729" ht="15.75" customHeight="1">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c r="AH729" s="112"/>
      <c r="AI729" s="112"/>
      <c r="AJ729" s="112"/>
      <c r="AK729" s="112"/>
      <c r="AL729" s="112"/>
      <c r="AM729" s="112"/>
      <c r="AN729" s="112"/>
      <c r="AO729" s="112"/>
      <c r="AP729" s="112"/>
      <c r="AQ729" s="112"/>
      <c r="AR729" s="112"/>
      <c r="AS729" s="112"/>
      <c r="AT729" s="112"/>
    </row>
    <row r="730" ht="15.75" customHeight="1">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c r="AH730" s="112"/>
      <c r="AI730" s="112"/>
      <c r="AJ730" s="112"/>
      <c r="AK730" s="112"/>
      <c r="AL730" s="112"/>
      <c r="AM730" s="112"/>
      <c r="AN730" s="112"/>
      <c r="AO730" s="112"/>
      <c r="AP730" s="112"/>
      <c r="AQ730" s="112"/>
      <c r="AR730" s="112"/>
      <c r="AS730" s="112"/>
      <c r="AT730" s="112"/>
    </row>
    <row r="731" ht="15.75" customHeight="1">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c r="AH731" s="112"/>
      <c r="AI731" s="112"/>
      <c r="AJ731" s="112"/>
      <c r="AK731" s="112"/>
      <c r="AL731" s="112"/>
      <c r="AM731" s="112"/>
      <c r="AN731" s="112"/>
      <c r="AO731" s="112"/>
      <c r="AP731" s="112"/>
      <c r="AQ731" s="112"/>
      <c r="AR731" s="112"/>
      <c r="AS731" s="112"/>
      <c r="AT731" s="112"/>
    </row>
    <row r="732" ht="15.75" customHeight="1">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c r="AH732" s="112"/>
      <c r="AI732" s="112"/>
      <c r="AJ732" s="112"/>
      <c r="AK732" s="112"/>
      <c r="AL732" s="112"/>
      <c r="AM732" s="112"/>
      <c r="AN732" s="112"/>
      <c r="AO732" s="112"/>
      <c r="AP732" s="112"/>
      <c r="AQ732" s="112"/>
      <c r="AR732" s="112"/>
      <c r="AS732" s="112"/>
      <c r="AT732" s="112"/>
    </row>
    <row r="733" ht="15.75" customHeight="1">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c r="AH733" s="112"/>
      <c r="AI733" s="112"/>
      <c r="AJ733" s="112"/>
      <c r="AK733" s="112"/>
      <c r="AL733" s="112"/>
      <c r="AM733" s="112"/>
      <c r="AN733" s="112"/>
      <c r="AO733" s="112"/>
      <c r="AP733" s="112"/>
      <c r="AQ733" s="112"/>
      <c r="AR733" s="112"/>
      <c r="AS733" s="112"/>
      <c r="AT733" s="112"/>
    </row>
    <row r="734" ht="15.75" customHeight="1">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c r="AH734" s="112"/>
      <c r="AI734" s="112"/>
      <c r="AJ734" s="112"/>
      <c r="AK734" s="112"/>
      <c r="AL734" s="112"/>
      <c r="AM734" s="112"/>
      <c r="AN734" s="112"/>
      <c r="AO734" s="112"/>
      <c r="AP734" s="112"/>
      <c r="AQ734" s="112"/>
      <c r="AR734" s="112"/>
      <c r="AS734" s="112"/>
      <c r="AT734" s="112"/>
    </row>
    <row r="735" ht="15.75" customHeight="1">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c r="AH735" s="112"/>
      <c r="AI735" s="112"/>
      <c r="AJ735" s="112"/>
      <c r="AK735" s="112"/>
      <c r="AL735" s="112"/>
      <c r="AM735" s="112"/>
      <c r="AN735" s="112"/>
      <c r="AO735" s="112"/>
      <c r="AP735" s="112"/>
      <c r="AQ735" s="112"/>
      <c r="AR735" s="112"/>
      <c r="AS735" s="112"/>
      <c r="AT735" s="112"/>
    </row>
    <row r="736" ht="15.75" customHeight="1">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c r="AH736" s="112"/>
      <c r="AI736" s="112"/>
      <c r="AJ736" s="112"/>
      <c r="AK736" s="112"/>
      <c r="AL736" s="112"/>
      <c r="AM736" s="112"/>
      <c r="AN736" s="112"/>
      <c r="AO736" s="112"/>
      <c r="AP736" s="112"/>
      <c r="AQ736" s="112"/>
      <c r="AR736" s="112"/>
      <c r="AS736" s="112"/>
      <c r="AT736" s="112"/>
    </row>
    <row r="737" ht="15.75" customHeight="1">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c r="AH737" s="112"/>
      <c r="AI737" s="112"/>
      <c r="AJ737" s="112"/>
      <c r="AK737" s="112"/>
      <c r="AL737" s="112"/>
      <c r="AM737" s="112"/>
      <c r="AN737" s="112"/>
      <c r="AO737" s="112"/>
      <c r="AP737" s="112"/>
      <c r="AQ737" s="112"/>
      <c r="AR737" s="112"/>
      <c r="AS737" s="112"/>
      <c r="AT737" s="112"/>
    </row>
    <row r="738" ht="15.75" customHeight="1">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c r="AH738" s="112"/>
      <c r="AI738" s="112"/>
      <c r="AJ738" s="112"/>
      <c r="AK738" s="112"/>
      <c r="AL738" s="112"/>
      <c r="AM738" s="112"/>
      <c r="AN738" s="112"/>
      <c r="AO738" s="112"/>
      <c r="AP738" s="112"/>
      <c r="AQ738" s="112"/>
      <c r="AR738" s="112"/>
      <c r="AS738" s="112"/>
      <c r="AT738" s="112"/>
    </row>
    <row r="739" ht="15.75" customHeight="1">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c r="AH739" s="112"/>
      <c r="AI739" s="112"/>
      <c r="AJ739" s="112"/>
      <c r="AK739" s="112"/>
      <c r="AL739" s="112"/>
      <c r="AM739" s="112"/>
      <c r="AN739" s="112"/>
      <c r="AO739" s="112"/>
      <c r="AP739" s="112"/>
      <c r="AQ739" s="112"/>
      <c r="AR739" s="112"/>
      <c r="AS739" s="112"/>
      <c r="AT739" s="112"/>
    </row>
    <row r="740" ht="15.75" customHeight="1">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c r="AH740" s="112"/>
      <c r="AI740" s="112"/>
      <c r="AJ740" s="112"/>
      <c r="AK740" s="112"/>
      <c r="AL740" s="112"/>
      <c r="AM740" s="112"/>
      <c r="AN740" s="112"/>
      <c r="AO740" s="112"/>
      <c r="AP740" s="112"/>
      <c r="AQ740" s="112"/>
      <c r="AR740" s="112"/>
      <c r="AS740" s="112"/>
      <c r="AT740" s="112"/>
    </row>
    <row r="741" ht="15.75" customHeight="1">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c r="AH741" s="112"/>
      <c r="AI741" s="112"/>
      <c r="AJ741" s="112"/>
      <c r="AK741" s="112"/>
      <c r="AL741" s="112"/>
      <c r="AM741" s="112"/>
      <c r="AN741" s="112"/>
      <c r="AO741" s="112"/>
      <c r="AP741" s="112"/>
      <c r="AQ741" s="112"/>
      <c r="AR741" s="112"/>
      <c r="AS741" s="112"/>
      <c r="AT741" s="112"/>
    </row>
    <row r="742" ht="15.75" customHeight="1">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c r="AH742" s="112"/>
      <c r="AI742" s="112"/>
      <c r="AJ742" s="112"/>
      <c r="AK742" s="112"/>
      <c r="AL742" s="112"/>
      <c r="AM742" s="112"/>
      <c r="AN742" s="112"/>
      <c r="AO742" s="112"/>
      <c r="AP742" s="112"/>
      <c r="AQ742" s="112"/>
      <c r="AR742" s="112"/>
      <c r="AS742" s="112"/>
      <c r="AT742" s="112"/>
    </row>
    <row r="743" ht="15.75" customHeight="1">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c r="AH743" s="112"/>
      <c r="AI743" s="112"/>
      <c r="AJ743" s="112"/>
      <c r="AK743" s="112"/>
      <c r="AL743" s="112"/>
      <c r="AM743" s="112"/>
      <c r="AN743" s="112"/>
      <c r="AO743" s="112"/>
      <c r="AP743" s="112"/>
      <c r="AQ743" s="112"/>
      <c r="AR743" s="112"/>
      <c r="AS743" s="112"/>
      <c r="AT743" s="112"/>
    </row>
    <row r="744" ht="15.75" customHeight="1">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c r="AH744" s="112"/>
      <c r="AI744" s="112"/>
      <c r="AJ744" s="112"/>
      <c r="AK744" s="112"/>
      <c r="AL744" s="112"/>
      <c r="AM744" s="112"/>
      <c r="AN744" s="112"/>
      <c r="AO744" s="112"/>
      <c r="AP744" s="112"/>
      <c r="AQ744" s="112"/>
      <c r="AR744" s="112"/>
      <c r="AS744" s="112"/>
      <c r="AT744" s="112"/>
    </row>
    <row r="745" ht="15.75" customHeight="1">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c r="AH745" s="112"/>
      <c r="AI745" s="112"/>
      <c r="AJ745" s="112"/>
      <c r="AK745" s="112"/>
      <c r="AL745" s="112"/>
      <c r="AM745" s="112"/>
      <c r="AN745" s="112"/>
      <c r="AO745" s="112"/>
      <c r="AP745" s="112"/>
      <c r="AQ745" s="112"/>
      <c r="AR745" s="112"/>
      <c r="AS745" s="112"/>
      <c r="AT745" s="112"/>
    </row>
    <row r="746" ht="15.75" customHeight="1">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c r="AH746" s="112"/>
      <c r="AI746" s="112"/>
      <c r="AJ746" s="112"/>
      <c r="AK746" s="112"/>
      <c r="AL746" s="112"/>
      <c r="AM746" s="112"/>
      <c r="AN746" s="112"/>
      <c r="AO746" s="112"/>
      <c r="AP746" s="112"/>
      <c r="AQ746" s="112"/>
      <c r="AR746" s="112"/>
      <c r="AS746" s="112"/>
      <c r="AT746" s="112"/>
    </row>
    <row r="747" ht="15.75" customHeight="1">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c r="AH747" s="112"/>
      <c r="AI747" s="112"/>
      <c r="AJ747" s="112"/>
      <c r="AK747" s="112"/>
      <c r="AL747" s="112"/>
      <c r="AM747" s="112"/>
      <c r="AN747" s="112"/>
      <c r="AO747" s="112"/>
      <c r="AP747" s="112"/>
      <c r="AQ747" s="112"/>
      <c r="AR747" s="112"/>
      <c r="AS747" s="112"/>
      <c r="AT747" s="112"/>
    </row>
    <row r="748" ht="15.75" customHeight="1">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c r="AH748" s="112"/>
      <c r="AI748" s="112"/>
      <c r="AJ748" s="112"/>
      <c r="AK748" s="112"/>
      <c r="AL748" s="112"/>
      <c r="AM748" s="112"/>
      <c r="AN748" s="112"/>
      <c r="AO748" s="112"/>
      <c r="AP748" s="112"/>
      <c r="AQ748" s="112"/>
      <c r="AR748" s="112"/>
      <c r="AS748" s="112"/>
      <c r="AT748" s="112"/>
    </row>
    <row r="749" ht="15.75" customHeight="1">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c r="AH749" s="112"/>
      <c r="AI749" s="112"/>
      <c r="AJ749" s="112"/>
      <c r="AK749" s="112"/>
      <c r="AL749" s="112"/>
      <c r="AM749" s="112"/>
      <c r="AN749" s="112"/>
      <c r="AO749" s="112"/>
      <c r="AP749" s="112"/>
      <c r="AQ749" s="112"/>
      <c r="AR749" s="112"/>
      <c r="AS749" s="112"/>
      <c r="AT749" s="112"/>
    </row>
    <row r="750" ht="15.75" customHeight="1">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c r="AH750" s="112"/>
      <c r="AI750" s="112"/>
      <c r="AJ750" s="112"/>
      <c r="AK750" s="112"/>
      <c r="AL750" s="112"/>
      <c r="AM750" s="112"/>
      <c r="AN750" s="112"/>
      <c r="AO750" s="112"/>
      <c r="AP750" s="112"/>
      <c r="AQ750" s="112"/>
      <c r="AR750" s="112"/>
      <c r="AS750" s="112"/>
      <c r="AT750" s="112"/>
    </row>
    <row r="751" ht="15.75" customHeight="1">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c r="AH751" s="112"/>
      <c r="AI751" s="112"/>
      <c r="AJ751" s="112"/>
      <c r="AK751" s="112"/>
      <c r="AL751" s="112"/>
      <c r="AM751" s="112"/>
      <c r="AN751" s="112"/>
      <c r="AO751" s="112"/>
      <c r="AP751" s="112"/>
      <c r="AQ751" s="112"/>
      <c r="AR751" s="112"/>
      <c r="AS751" s="112"/>
      <c r="AT751" s="112"/>
    </row>
    <row r="752" ht="15.75" customHeight="1">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c r="AH752" s="112"/>
      <c r="AI752" s="112"/>
      <c r="AJ752" s="112"/>
      <c r="AK752" s="112"/>
      <c r="AL752" s="112"/>
      <c r="AM752" s="112"/>
      <c r="AN752" s="112"/>
      <c r="AO752" s="112"/>
      <c r="AP752" s="112"/>
      <c r="AQ752" s="112"/>
      <c r="AR752" s="112"/>
      <c r="AS752" s="112"/>
      <c r="AT752" s="112"/>
    </row>
    <row r="753" ht="15.75" customHeight="1">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c r="AH753" s="112"/>
      <c r="AI753" s="112"/>
      <c r="AJ753" s="112"/>
      <c r="AK753" s="112"/>
      <c r="AL753" s="112"/>
      <c r="AM753" s="112"/>
      <c r="AN753" s="112"/>
      <c r="AO753" s="112"/>
      <c r="AP753" s="112"/>
      <c r="AQ753" s="112"/>
      <c r="AR753" s="112"/>
      <c r="AS753" s="112"/>
      <c r="AT753" s="112"/>
    </row>
    <row r="754" ht="15.75" customHeight="1">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c r="AH754" s="112"/>
      <c r="AI754" s="112"/>
      <c r="AJ754" s="112"/>
      <c r="AK754" s="112"/>
      <c r="AL754" s="112"/>
      <c r="AM754" s="112"/>
      <c r="AN754" s="112"/>
      <c r="AO754" s="112"/>
      <c r="AP754" s="112"/>
      <c r="AQ754" s="112"/>
      <c r="AR754" s="112"/>
      <c r="AS754" s="112"/>
      <c r="AT754" s="112"/>
    </row>
    <row r="755" ht="15.75" customHeight="1">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c r="AH755" s="112"/>
      <c r="AI755" s="112"/>
      <c r="AJ755" s="112"/>
      <c r="AK755" s="112"/>
      <c r="AL755" s="112"/>
      <c r="AM755" s="112"/>
      <c r="AN755" s="112"/>
      <c r="AO755" s="112"/>
      <c r="AP755" s="112"/>
      <c r="AQ755" s="112"/>
      <c r="AR755" s="112"/>
      <c r="AS755" s="112"/>
      <c r="AT755" s="112"/>
    </row>
    <row r="756" ht="15.75" customHeight="1">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c r="AH756" s="112"/>
      <c r="AI756" s="112"/>
      <c r="AJ756" s="112"/>
      <c r="AK756" s="112"/>
      <c r="AL756" s="112"/>
      <c r="AM756" s="112"/>
      <c r="AN756" s="112"/>
      <c r="AO756" s="112"/>
      <c r="AP756" s="112"/>
      <c r="AQ756" s="112"/>
      <c r="AR756" s="112"/>
      <c r="AS756" s="112"/>
      <c r="AT756" s="112"/>
    </row>
    <row r="757" ht="15.75" customHeight="1">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c r="AH757" s="112"/>
      <c r="AI757" s="112"/>
      <c r="AJ757" s="112"/>
      <c r="AK757" s="112"/>
      <c r="AL757" s="112"/>
      <c r="AM757" s="112"/>
      <c r="AN757" s="112"/>
      <c r="AO757" s="112"/>
      <c r="AP757" s="112"/>
      <c r="AQ757" s="112"/>
      <c r="AR757" s="112"/>
      <c r="AS757" s="112"/>
      <c r="AT757" s="112"/>
    </row>
    <row r="758" ht="15.75" customHeight="1">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c r="AH758" s="112"/>
      <c r="AI758" s="112"/>
      <c r="AJ758" s="112"/>
      <c r="AK758" s="112"/>
      <c r="AL758" s="112"/>
      <c r="AM758" s="112"/>
      <c r="AN758" s="112"/>
      <c r="AO758" s="112"/>
      <c r="AP758" s="112"/>
      <c r="AQ758" s="112"/>
      <c r="AR758" s="112"/>
      <c r="AS758" s="112"/>
      <c r="AT758" s="112"/>
    </row>
    <row r="759" ht="15.75" customHeight="1">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c r="AH759" s="112"/>
      <c r="AI759" s="112"/>
      <c r="AJ759" s="112"/>
      <c r="AK759" s="112"/>
      <c r="AL759" s="112"/>
      <c r="AM759" s="112"/>
      <c r="AN759" s="112"/>
      <c r="AO759" s="112"/>
      <c r="AP759" s="112"/>
      <c r="AQ759" s="112"/>
      <c r="AR759" s="112"/>
      <c r="AS759" s="112"/>
      <c r="AT759" s="112"/>
    </row>
    <row r="760" ht="15.75" customHeight="1">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c r="AH760" s="112"/>
      <c r="AI760" s="112"/>
      <c r="AJ760" s="112"/>
      <c r="AK760" s="112"/>
      <c r="AL760" s="112"/>
      <c r="AM760" s="112"/>
      <c r="AN760" s="112"/>
      <c r="AO760" s="112"/>
      <c r="AP760" s="112"/>
      <c r="AQ760" s="112"/>
      <c r="AR760" s="112"/>
      <c r="AS760" s="112"/>
      <c r="AT760" s="112"/>
    </row>
    <row r="761" ht="15.75" customHeight="1">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c r="AH761" s="112"/>
      <c r="AI761" s="112"/>
      <c r="AJ761" s="112"/>
      <c r="AK761" s="112"/>
      <c r="AL761" s="112"/>
      <c r="AM761" s="112"/>
      <c r="AN761" s="112"/>
      <c r="AO761" s="112"/>
      <c r="AP761" s="112"/>
      <c r="AQ761" s="112"/>
      <c r="AR761" s="112"/>
      <c r="AS761" s="112"/>
      <c r="AT761" s="112"/>
    </row>
    <row r="762" ht="15.75" customHeight="1">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c r="AH762" s="112"/>
      <c r="AI762" s="112"/>
      <c r="AJ762" s="112"/>
      <c r="AK762" s="112"/>
      <c r="AL762" s="112"/>
      <c r="AM762" s="112"/>
      <c r="AN762" s="112"/>
      <c r="AO762" s="112"/>
      <c r="AP762" s="112"/>
      <c r="AQ762" s="112"/>
      <c r="AR762" s="112"/>
      <c r="AS762" s="112"/>
      <c r="AT762" s="112"/>
    </row>
    <row r="763" ht="15.75" customHeight="1">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c r="AH763" s="112"/>
      <c r="AI763" s="112"/>
      <c r="AJ763" s="112"/>
      <c r="AK763" s="112"/>
      <c r="AL763" s="112"/>
      <c r="AM763" s="112"/>
      <c r="AN763" s="112"/>
      <c r="AO763" s="112"/>
      <c r="AP763" s="112"/>
      <c r="AQ763" s="112"/>
      <c r="AR763" s="112"/>
      <c r="AS763" s="112"/>
      <c r="AT763" s="112"/>
    </row>
    <row r="764" ht="15.75" customHeight="1">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c r="AH764" s="112"/>
      <c r="AI764" s="112"/>
      <c r="AJ764" s="112"/>
      <c r="AK764" s="112"/>
      <c r="AL764" s="112"/>
      <c r="AM764" s="112"/>
      <c r="AN764" s="112"/>
      <c r="AO764" s="112"/>
      <c r="AP764" s="112"/>
      <c r="AQ764" s="112"/>
      <c r="AR764" s="112"/>
      <c r="AS764" s="112"/>
      <c r="AT764" s="112"/>
    </row>
    <row r="765" ht="15.75" customHeight="1">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c r="AH765" s="112"/>
      <c r="AI765" s="112"/>
      <c r="AJ765" s="112"/>
      <c r="AK765" s="112"/>
      <c r="AL765" s="112"/>
      <c r="AM765" s="112"/>
      <c r="AN765" s="112"/>
      <c r="AO765" s="112"/>
      <c r="AP765" s="112"/>
      <c r="AQ765" s="112"/>
      <c r="AR765" s="112"/>
      <c r="AS765" s="112"/>
      <c r="AT765" s="112"/>
    </row>
    <row r="766" ht="15.75" customHeight="1">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c r="AH766" s="112"/>
      <c r="AI766" s="112"/>
      <c r="AJ766" s="112"/>
      <c r="AK766" s="112"/>
      <c r="AL766" s="112"/>
      <c r="AM766" s="112"/>
      <c r="AN766" s="112"/>
      <c r="AO766" s="112"/>
      <c r="AP766" s="112"/>
      <c r="AQ766" s="112"/>
      <c r="AR766" s="112"/>
      <c r="AS766" s="112"/>
      <c r="AT766" s="112"/>
    </row>
    <row r="767" ht="15.75" customHeight="1">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c r="AH767" s="112"/>
      <c r="AI767" s="112"/>
      <c r="AJ767" s="112"/>
      <c r="AK767" s="112"/>
      <c r="AL767" s="112"/>
      <c r="AM767" s="112"/>
      <c r="AN767" s="112"/>
      <c r="AO767" s="112"/>
      <c r="AP767" s="112"/>
      <c r="AQ767" s="112"/>
      <c r="AR767" s="112"/>
      <c r="AS767" s="112"/>
      <c r="AT767" s="112"/>
    </row>
    <row r="768" ht="15.75" customHeight="1">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c r="AH768" s="112"/>
      <c r="AI768" s="112"/>
      <c r="AJ768" s="112"/>
      <c r="AK768" s="112"/>
      <c r="AL768" s="112"/>
      <c r="AM768" s="112"/>
      <c r="AN768" s="112"/>
      <c r="AO768" s="112"/>
      <c r="AP768" s="112"/>
      <c r="AQ768" s="112"/>
      <c r="AR768" s="112"/>
      <c r="AS768" s="112"/>
      <c r="AT768" s="112"/>
    </row>
    <row r="769" ht="15.75" customHeight="1">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c r="AH769" s="112"/>
      <c r="AI769" s="112"/>
      <c r="AJ769" s="112"/>
      <c r="AK769" s="112"/>
      <c r="AL769" s="112"/>
      <c r="AM769" s="112"/>
      <c r="AN769" s="112"/>
      <c r="AO769" s="112"/>
      <c r="AP769" s="112"/>
      <c r="AQ769" s="112"/>
      <c r="AR769" s="112"/>
      <c r="AS769" s="112"/>
      <c r="AT769" s="112"/>
    </row>
    <row r="770" ht="15.75" customHeight="1">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c r="AH770" s="112"/>
      <c r="AI770" s="112"/>
      <c r="AJ770" s="112"/>
      <c r="AK770" s="112"/>
      <c r="AL770" s="112"/>
      <c r="AM770" s="112"/>
      <c r="AN770" s="112"/>
      <c r="AO770" s="112"/>
      <c r="AP770" s="112"/>
      <c r="AQ770" s="112"/>
      <c r="AR770" s="112"/>
      <c r="AS770" s="112"/>
      <c r="AT770" s="112"/>
    </row>
    <row r="771" ht="15.75" customHeight="1">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c r="AH771" s="112"/>
      <c r="AI771" s="112"/>
      <c r="AJ771" s="112"/>
      <c r="AK771" s="112"/>
      <c r="AL771" s="112"/>
      <c r="AM771" s="112"/>
      <c r="AN771" s="112"/>
      <c r="AO771" s="112"/>
      <c r="AP771" s="112"/>
      <c r="AQ771" s="112"/>
      <c r="AR771" s="112"/>
      <c r="AS771" s="112"/>
      <c r="AT771" s="112"/>
    </row>
    <row r="772" ht="15.75" customHeight="1">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c r="AH772" s="112"/>
      <c r="AI772" s="112"/>
      <c r="AJ772" s="112"/>
      <c r="AK772" s="112"/>
      <c r="AL772" s="112"/>
      <c r="AM772" s="112"/>
      <c r="AN772" s="112"/>
      <c r="AO772" s="112"/>
      <c r="AP772" s="112"/>
      <c r="AQ772" s="112"/>
      <c r="AR772" s="112"/>
      <c r="AS772" s="112"/>
      <c r="AT772" s="112"/>
    </row>
    <row r="773" ht="15.75" customHeight="1">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c r="AH773" s="112"/>
      <c r="AI773" s="112"/>
      <c r="AJ773" s="112"/>
      <c r="AK773" s="112"/>
      <c r="AL773" s="112"/>
      <c r="AM773" s="112"/>
      <c r="AN773" s="112"/>
      <c r="AO773" s="112"/>
      <c r="AP773" s="112"/>
      <c r="AQ773" s="112"/>
      <c r="AR773" s="112"/>
      <c r="AS773" s="112"/>
      <c r="AT773" s="112"/>
    </row>
    <row r="774" ht="15.75" customHeight="1">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c r="AH774" s="112"/>
      <c r="AI774" s="112"/>
      <c r="AJ774" s="112"/>
      <c r="AK774" s="112"/>
      <c r="AL774" s="112"/>
      <c r="AM774" s="112"/>
      <c r="AN774" s="112"/>
      <c r="AO774" s="112"/>
      <c r="AP774" s="112"/>
      <c r="AQ774" s="112"/>
      <c r="AR774" s="112"/>
      <c r="AS774" s="112"/>
      <c r="AT774" s="112"/>
    </row>
    <row r="775" ht="15.75" customHeight="1">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c r="AH775" s="112"/>
      <c r="AI775" s="112"/>
      <c r="AJ775" s="112"/>
      <c r="AK775" s="112"/>
      <c r="AL775" s="112"/>
      <c r="AM775" s="112"/>
      <c r="AN775" s="112"/>
      <c r="AO775" s="112"/>
      <c r="AP775" s="112"/>
      <c r="AQ775" s="112"/>
      <c r="AR775" s="112"/>
      <c r="AS775" s="112"/>
      <c r="AT775" s="112"/>
    </row>
    <row r="776" ht="15.75" customHeight="1">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c r="AH776" s="112"/>
      <c r="AI776" s="112"/>
      <c r="AJ776" s="112"/>
      <c r="AK776" s="112"/>
      <c r="AL776" s="112"/>
      <c r="AM776" s="112"/>
      <c r="AN776" s="112"/>
      <c r="AO776" s="112"/>
      <c r="AP776" s="112"/>
      <c r="AQ776" s="112"/>
      <c r="AR776" s="112"/>
      <c r="AS776" s="112"/>
      <c r="AT776" s="112"/>
    </row>
    <row r="777" ht="15.75" customHeight="1">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c r="AH777" s="112"/>
      <c r="AI777" s="112"/>
      <c r="AJ777" s="112"/>
      <c r="AK777" s="112"/>
      <c r="AL777" s="112"/>
      <c r="AM777" s="112"/>
      <c r="AN777" s="112"/>
      <c r="AO777" s="112"/>
      <c r="AP777" s="112"/>
      <c r="AQ777" s="112"/>
      <c r="AR777" s="112"/>
      <c r="AS777" s="112"/>
      <c r="AT777" s="112"/>
    </row>
    <row r="778" ht="15.75" customHeight="1">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c r="AH778" s="112"/>
      <c r="AI778" s="112"/>
      <c r="AJ778" s="112"/>
      <c r="AK778" s="112"/>
      <c r="AL778" s="112"/>
      <c r="AM778" s="112"/>
      <c r="AN778" s="112"/>
      <c r="AO778" s="112"/>
      <c r="AP778" s="112"/>
      <c r="AQ778" s="112"/>
      <c r="AR778" s="112"/>
      <c r="AS778" s="112"/>
      <c r="AT778" s="112"/>
    </row>
    <row r="779" ht="15.75" customHeight="1">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c r="AH779" s="112"/>
      <c r="AI779" s="112"/>
      <c r="AJ779" s="112"/>
      <c r="AK779" s="112"/>
      <c r="AL779" s="112"/>
      <c r="AM779" s="112"/>
      <c r="AN779" s="112"/>
      <c r="AO779" s="112"/>
      <c r="AP779" s="112"/>
      <c r="AQ779" s="112"/>
      <c r="AR779" s="112"/>
      <c r="AS779" s="112"/>
      <c r="AT779" s="112"/>
    </row>
    <row r="780" ht="15.75" customHeight="1">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c r="AH780" s="112"/>
      <c r="AI780" s="112"/>
      <c r="AJ780" s="112"/>
      <c r="AK780" s="112"/>
      <c r="AL780" s="112"/>
      <c r="AM780" s="112"/>
      <c r="AN780" s="112"/>
      <c r="AO780" s="112"/>
      <c r="AP780" s="112"/>
      <c r="AQ780" s="112"/>
      <c r="AR780" s="112"/>
      <c r="AS780" s="112"/>
      <c r="AT780" s="112"/>
    </row>
    <row r="781" ht="15.75" customHeight="1">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c r="AH781" s="112"/>
      <c r="AI781" s="112"/>
      <c r="AJ781" s="112"/>
      <c r="AK781" s="112"/>
      <c r="AL781" s="112"/>
      <c r="AM781" s="112"/>
      <c r="AN781" s="112"/>
      <c r="AO781" s="112"/>
      <c r="AP781" s="112"/>
      <c r="AQ781" s="112"/>
      <c r="AR781" s="112"/>
      <c r="AS781" s="112"/>
      <c r="AT781" s="112"/>
    </row>
    <row r="782" ht="15.75" customHeight="1">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c r="AH782" s="112"/>
      <c r="AI782" s="112"/>
      <c r="AJ782" s="112"/>
      <c r="AK782" s="112"/>
      <c r="AL782" s="112"/>
      <c r="AM782" s="112"/>
      <c r="AN782" s="112"/>
      <c r="AO782" s="112"/>
      <c r="AP782" s="112"/>
      <c r="AQ782" s="112"/>
      <c r="AR782" s="112"/>
      <c r="AS782" s="112"/>
      <c r="AT782" s="112"/>
    </row>
    <row r="783" ht="15.75" customHeight="1">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c r="AH783" s="112"/>
      <c r="AI783" s="112"/>
      <c r="AJ783" s="112"/>
      <c r="AK783" s="112"/>
      <c r="AL783" s="112"/>
      <c r="AM783" s="112"/>
      <c r="AN783" s="112"/>
      <c r="AO783" s="112"/>
      <c r="AP783" s="112"/>
      <c r="AQ783" s="112"/>
      <c r="AR783" s="112"/>
      <c r="AS783" s="112"/>
      <c r="AT783" s="112"/>
    </row>
    <row r="784" ht="15.75" customHeight="1">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c r="AH784" s="112"/>
      <c r="AI784" s="112"/>
      <c r="AJ784" s="112"/>
      <c r="AK784" s="112"/>
      <c r="AL784" s="112"/>
      <c r="AM784" s="112"/>
      <c r="AN784" s="112"/>
      <c r="AO784" s="112"/>
      <c r="AP784" s="112"/>
      <c r="AQ784" s="112"/>
      <c r="AR784" s="112"/>
      <c r="AS784" s="112"/>
      <c r="AT784" s="112"/>
    </row>
    <row r="785" ht="15.75" customHeight="1">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c r="AH785" s="112"/>
      <c r="AI785" s="112"/>
      <c r="AJ785" s="112"/>
      <c r="AK785" s="112"/>
      <c r="AL785" s="112"/>
      <c r="AM785" s="112"/>
      <c r="AN785" s="112"/>
      <c r="AO785" s="112"/>
      <c r="AP785" s="112"/>
      <c r="AQ785" s="112"/>
      <c r="AR785" s="112"/>
      <c r="AS785" s="112"/>
      <c r="AT785" s="112"/>
    </row>
    <row r="786" ht="15.75" customHeight="1">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c r="AH786" s="112"/>
      <c r="AI786" s="112"/>
      <c r="AJ786" s="112"/>
      <c r="AK786" s="112"/>
      <c r="AL786" s="112"/>
      <c r="AM786" s="112"/>
      <c r="AN786" s="112"/>
      <c r="AO786" s="112"/>
      <c r="AP786" s="112"/>
      <c r="AQ786" s="112"/>
      <c r="AR786" s="112"/>
      <c r="AS786" s="112"/>
      <c r="AT786" s="112"/>
    </row>
    <row r="787" ht="15.75" customHeight="1">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c r="AH787" s="112"/>
      <c r="AI787" s="112"/>
      <c r="AJ787" s="112"/>
      <c r="AK787" s="112"/>
      <c r="AL787" s="112"/>
      <c r="AM787" s="112"/>
      <c r="AN787" s="112"/>
      <c r="AO787" s="112"/>
      <c r="AP787" s="112"/>
      <c r="AQ787" s="112"/>
      <c r="AR787" s="112"/>
      <c r="AS787" s="112"/>
      <c r="AT787" s="112"/>
    </row>
    <row r="788" ht="15.75" customHeight="1">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c r="AH788" s="112"/>
      <c r="AI788" s="112"/>
      <c r="AJ788" s="112"/>
      <c r="AK788" s="112"/>
      <c r="AL788" s="112"/>
      <c r="AM788" s="112"/>
      <c r="AN788" s="112"/>
      <c r="AO788" s="112"/>
      <c r="AP788" s="112"/>
      <c r="AQ788" s="112"/>
      <c r="AR788" s="112"/>
      <c r="AS788" s="112"/>
      <c r="AT788" s="112"/>
    </row>
    <row r="789" ht="15.75" customHeight="1">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c r="AH789" s="112"/>
      <c r="AI789" s="112"/>
      <c r="AJ789" s="112"/>
      <c r="AK789" s="112"/>
      <c r="AL789" s="112"/>
      <c r="AM789" s="112"/>
      <c r="AN789" s="112"/>
      <c r="AO789" s="112"/>
      <c r="AP789" s="112"/>
      <c r="AQ789" s="112"/>
      <c r="AR789" s="112"/>
      <c r="AS789" s="112"/>
      <c r="AT789" s="112"/>
    </row>
    <row r="790" ht="15.75" customHeight="1">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c r="AH790" s="112"/>
      <c r="AI790" s="112"/>
      <c r="AJ790" s="112"/>
      <c r="AK790" s="112"/>
      <c r="AL790" s="112"/>
      <c r="AM790" s="112"/>
      <c r="AN790" s="112"/>
      <c r="AO790" s="112"/>
      <c r="AP790" s="112"/>
      <c r="AQ790" s="112"/>
      <c r="AR790" s="112"/>
      <c r="AS790" s="112"/>
      <c r="AT790" s="112"/>
    </row>
    <row r="791" ht="15.75" customHeight="1">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c r="AH791" s="112"/>
      <c r="AI791" s="112"/>
      <c r="AJ791" s="112"/>
      <c r="AK791" s="112"/>
      <c r="AL791" s="112"/>
      <c r="AM791" s="112"/>
      <c r="AN791" s="112"/>
      <c r="AO791" s="112"/>
      <c r="AP791" s="112"/>
      <c r="AQ791" s="112"/>
      <c r="AR791" s="112"/>
      <c r="AS791" s="112"/>
      <c r="AT791" s="112"/>
    </row>
    <row r="792" ht="15.75" customHeight="1">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c r="AH792" s="112"/>
      <c r="AI792" s="112"/>
      <c r="AJ792" s="112"/>
      <c r="AK792" s="112"/>
      <c r="AL792" s="112"/>
      <c r="AM792" s="112"/>
      <c r="AN792" s="112"/>
      <c r="AO792" s="112"/>
      <c r="AP792" s="112"/>
      <c r="AQ792" s="112"/>
      <c r="AR792" s="112"/>
      <c r="AS792" s="112"/>
      <c r="AT792" s="112"/>
    </row>
    <row r="793" ht="15.75" customHeight="1">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c r="AH793" s="112"/>
      <c r="AI793" s="112"/>
      <c r="AJ793" s="112"/>
      <c r="AK793" s="112"/>
      <c r="AL793" s="112"/>
      <c r="AM793" s="112"/>
      <c r="AN793" s="112"/>
      <c r="AO793" s="112"/>
      <c r="AP793" s="112"/>
      <c r="AQ793" s="112"/>
      <c r="AR793" s="112"/>
      <c r="AS793" s="112"/>
      <c r="AT793" s="112"/>
    </row>
    <row r="794" ht="15.75" customHeight="1">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c r="AH794" s="112"/>
      <c r="AI794" s="112"/>
      <c r="AJ794" s="112"/>
      <c r="AK794" s="112"/>
      <c r="AL794" s="112"/>
      <c r="AM794" s="112"/>
      <c r="AN794" s="112"/>
      <c r="AO794" s="112"/>
      <c r="AP794" s="112"/>
      <c r="AQ794" s="112"/>
      <c r="AR794" s="112"/>
      <c r="AS794" s="112"/>
      <c r="AT794" s="112"/>
    </row>
    <row r="795" ht="15.75" customHeight="1">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c r="AH795" s="112"/>
      <c r="AI795" s="112"/>
      <c r="AJ795" s="112"/>
      <c r="AK795" s="112"/>
      <c r="AL795" s="112"/>
      <c r="AM795" s="112"/>
      <c r="AN795" s="112"/>
      <c r="AO795" s="112"/>
      <c r="AP795" s="112"/>
      <c r="AQ795" s="112"/>
      <c r="AR795" s="112"/>
      <c r="AS795" s="112"/>
      <c r="AT795" s="112"/>
    </row>
    <row r="796" ht="15.75" customHeight="1">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c r="AH796" s="112"/>
      <c r="AI796" s="112"/>
      <c r="AJ796" s="112"/>
      <c r="AK796" s="112"/>
      <c r="AL796" s="112"/>
      <c r="AM796" s="112"/>
      <c r="AN796" s="112"/>
      <c r="AO796" s="112"/>
      <c r="AP796" s="112"/>
      <c r="AQ796" s="112"/>
      <c r="AR796" s="112"/>
      <c r="AS796" s="112"/>
      <c r="AT796" s="112"/>
    </row>
    <row r="797" ht="15.75" customHeight="1">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c r="AH797" s="112"/>
      <c r="AI797" s="112"/>
      <c r="AJ797" s="112"/>
      <c r="AK797" s="112"/>
      <c r="AL797" s="112"/>
      <c r="AM797" s="112"/>
      <c r="AN797" s="112"/>
      <c r="AO797" s="112"/>
      <c r="AP797" s="112"/>
      <c r="AQ797" s="112"/>
      <c r="AR797" s="112"/>
      <c r="AS797" s="112"/>
      <c r="AT797" s="112"/>
    </row>
    <row r="798" ht="15.75" customHeight="1">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c r="AH798" s="112"/>
      <c r="AI798" s="112"/>
      <c r="AJ798" s="112"/>
      <c r="AK798" s="112"/>
      <c r="AL798" s="112"/>
      <c r="AM798" s="112"/>
      <c r="AN798" s="112"/>
      <c r="AO798" s="112"/>
      <c r="AP798" s="112"/>
      <c r="AQ798" s="112"/>
      <c r="AR798" s="112"/>
      <c r="AS798" s="112"/>
      <c r="AT798" s="112"/>
    </row>
    <row r="799" ht="15.75" customHeight="1">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c r="AH799" s="112"/>
      <c r="AI799" s="112"/>
      <c r="AJ799" s="112"/>
      <c r="AK799" s="112"/>
      <c r="AL799" s="112"/>
      <c r="AM799" s="112"/>
      <c r="AN799" s="112"/>
      <c r="AO799" s="112"/>
      <c r="AP799" s="112"/>
      <c r="AQ799" s="112"/>
      <c r="AR799" s="112"/>
      <c r="AS799" s="112"/>
      <c r="AT799" s="112"/>
    </row>
    <row r="800" ht="15.75" customHeight="1">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c r="AH800" s="112"/>
      <c r="AI800" s="112"/>
      <c r="AJ800" s="112"/>
      <c r="AK800" s="112"/>
      <c r="AL800" s="112"/>
      <c r="AM800" s="112"/>
      <c r="AN800" s="112"/>
      <c r="AO800" s="112"/>
      <c r="AP800" s="112"/>
      <c r="AQ800" s="112"/>
      <c r="AR800" s="112"/>
      <c r="AS800" s="112"/>
      <c r="AT800" s="112"/>
    </row>
    <row r="801" ht="15.75" customHeight="1">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c r="AH801" s="112"/>
      <c r="AI801" s="112"/>
      <c r="AJ801" s="112"/>
      <c r="AK801" s="112"/>
      <c r="AL801" s="112"/>
      <c r="AM801" s="112"/>
      <c r="AN801" s="112"/>
      <c r="AO801" s="112"/>
      <c r="AP801" s="112"/>
      <c r="AQ801" s="112"/>
      <c r="AR801" s="112"/>
      <c r="AS801" s="112"/>
      <c r="AT801" s="112"/>
    </row>
    <row r="802" ht="15.75" customHeight="1">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c r="AH802" s="112"/>
      <c r="AI802" s="112"/>
      <c r="AJ802" s="112"/>
      <c r="AK802" s="112"/>
      <c r="AL802" s="112"/>
      <c r="AM802" s="112"/>
      <c r="AN802" s="112"/>
      <c r="AO802" s="112"/>
      <c r="AP802" s="112"/>
      <c r="AQ802" s="112"/>
      <c r="AR802" s="112"/>
      <c r="AS802" s="112"/>
      <c r="AT802" s="112"/>
    </row>
    <row r="803" ht="15.75" customHeight="1">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c r="AH803" s="112"/>
      <c r="AI803" s="112"/>
      <c r="AJ803" s="112"/>
      <c r="AK803" s="112"/>
      <c r="AL803" s="112"/>
      <c r="AM803" s="112"/>
      <c r="AN803" s="112"/>
      <c r="AO803" s="112"/>
      <c r="AP803" s="112"/>
      <c r="AQ803" s="112"/>
      <c r="AR803" s="112"/>
      <c r="AS803" s="112"/>
      <c r="AT803" s="112"/>
    </row>
    <row r="804" ht="15.75" customHeight="1">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c r="AH804" s="112"/>
      <c r="AI804" s="112"/>
      <c r="AJ804" s="112"/>
      <c r="AK804" s="112"/>
      <c r="AL804" s="112"/>
      <c r="AM804" s="112"/>
      <c r="AN804" s="112"/>
      <c r="AO804" s="112"/>
      <c r="AP804" s="112"/>
      <c r="AQ804" s="112"/>
      <c r="AR804" s="112"/>
      <c r="AS804" s="112"/>
      <c r="AT804" s="112"/>
    </row>
    <row r="805" ht="15.75" customHeight="1">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c r="AH805" s="112"/>
      <c r="AI805" s="112"/>
      <c r="AJ805" s="112"/>
      <c r="AK805" s="112"/>
      <c r="AL805" s="112"/>
      <c r="AM805" s="112"/>
      <c r="AN805" s="112"/>
      <c r="AO805" s="112"/>
      <c r="AP805" s="112"/>
      <c r="AQ805" s="112"/>
      <c r="AR805" s="112"/>
      <c r="AS805" s="112"/>
      <c r="AT805" s="112"/>
    </row>
    <row r="806" ht="15.75" customHeight="1">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c r="AH806" s="112"/>
      <c r="AI806" s="112"/>
      <c r="AJ806" s="112"/>
      <c r="AK806" s="112"/>
      <c r="AL806" s="112"/>
      <c r="AM806" s="112"/>
      <c r="AN806" s="112"/>
      <c r="AO806" s="112"/>
      <c r="AP806" s="112"/>
      <c r="AQ806" s="112"/>
      <c r="AR806" s="112"/>
      <c r="AS806" s="112"/>
      <c r="AT806" s="112"/>
    </row>
    <row r="807" ht="15.75" customHeight="1">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c r="AH807" s="112"/>
      <c r="AI807" s="112"/>
      <c r="AJ807" s="112"/>
      <c r="AK807" s="112"/>
      <c r="AL807" s="112"/>
      <c r="AM807" s="112"/>
      <c r="AN807" s="112"/>
      <c r="AO807" s="112"/>
      <c r="AP807" s="112"/>
      <c r="AQ807" s="112"/>
      <c r="AR807" s="112"/>
      <c r="AS807" s="112"/>
      <c r="AT807" s="112"/>
    </row>
    <row r="808" ht="15.75" customHeight="1">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c r="AH808" s="112"/>
      <c r="AI808" s="112"/>
      <c r="AJ808" s="112"/>
      <c r="AK808" s="112"/>
      <c r="AL808" s="112"/>
      <c r="AM808" s="112"/>
      <c r="AN808" s="112"/>
      <c r="AO808" s="112"/>
      <c r="AP808" s="112"/>
      <c r="AQ808" s="112"/>
      <c r="AR808" s="112"/>
      <c r="AS808" s="112"/>
      <c r="AT808" s="112"/>
    </row>
    <row r="809" ht="15.75" customHeight="1">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c r="AH809" s="112"/>
      <c r="AI809" s="112"/>
      <c r="AJ809" s="112"/>
      <c r="AK809" s="112"/>
      <c r="AL809" s="112"/>
      <c r="AM809" s="112"/>
      <c r="AN809" s="112"/>
      <c r="AO809" s="112"/>
      <c r="AP809" s="112"/>
      <c r="AQ809" s="112"/>
      <c r="AR809" s="112"/>
      <c r="AS809" s="112"/>
      <c r="AT809" s="112"/>
    </row>
    <row r="810" ht="15.75" customHeight="1">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c r="AH810" s="112"/>
      <c r="AI810" s="112"/>
      <c r="AJ810" s="112"/>
      <c r="AK810" s="112"/>
      <c r="AL810" s="112"/>
      <c r="AM810" s="112"/>
      <c r="AN810" s="112"/>
      <c r="AO810" s="112"/>
      <c r="AP810" s="112"/>
      <c r="AQ810" s="112"/>
      <c r="AR810" s="112"/>
      <c r="AS810" s="112"/>
      <c r="AT810" s="112"/>
    </row>
    <row r="811" ht="15.75" customHeight="1">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c r="AH811" s="112"/>
      <c r="AI811" s="112"/>
      <c r="AJ811" s="112"/>
      <c r="AK811" s="112"/>
      <c r="AL811" s="112"/>
      <c r="AM811" s="112"/>
      <c r="AN811" s="112"/>
      <c r="AO811" s="112"/>
      <c r="AP811" s="112"/>
      <c r="AQ811" s="112"/>
      <c r="AR811" s="112"/>
      <c r="AS811" s="112"/>
      <c r="AT811" s="112"/>
    </row>
    <row r="812" ht="15.75" customHeight="1">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c r="AH812" s="112"/>
      <c r="AI812" s="112"/>
      <c r="AJ812" s="112"/>
      <c r="AK812" s="112"/>
      <c r="AL812" s="112"/>
      <c r="AM812" s="112"/>
      <c r="AN812" s="112"/>
      <c r="AO812" s="112"/>
      <c r="AP812" s="112"/>
      <c r="AQ812" s="112"/>
      <c r="AR812" s="112"/>
      <c r="AS812" s="112"/>
      <c r="AT812" s="112"/>
    </row>
    <row r="813" ht="15.75" customHeight="1">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c r="AH813" s="112"/>
      <c r="AI813" s="112"/>
      <c r="AJ813" s="112"/>
      <c r="AK813" s="112"/>
      <c r="AL813" s="112"/>
      <c r="AM813" s="112"/>
      <c r="AN813" s="112"/>
      <c r="AO813" s="112"/>
      <c r="AP813" s="112"/>
      <c r="AQ813" s="112"/>
      <c r="AR813" s="112"/>
      <c r="AS813" s="112"/>
      <c r="AT813" s="112"/>
    </row>
    <row r="814" ht="15.75" customHeight="1">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c r="AH814" s="112"/>
      <c r="AI814" s="112"/>
      <c r="AJ814" s="112"/>
      <c r="AK814" s="112"/>
      <c r="AL814" s="112"/>
      <c r="AM814" s="112"/>
      <c r="AN814" s="112"/>
      <c r="AO814" s="112"/>
      <c r="AP814" s="112"/>
      <c r="AQ814" s="112"/>
      <c r="AR814" s="112"/>
      <c r="AS814" s="112"/>
      <c r="AT814" s="112"/>
    </row>
    <row r="815" ht="15.75" customHeight="1">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c r="AH815" s="112"/>
      <c r="AI815" s="112"/>
      <c r="AJ815" s="112"/>
      <c r="AK815" s="112"/>
      <c r="AL815" s="112"/>
      <c r="AM815" s="112"/>
      <c r="AN815" s="112"/>
      <c r="AO815" s="112"/>
      <c r="AP815" s="112"/>
      <c r="AQ815" s="112"/>
      <c r="AR815" s="112"/>
      <c r="AS815" s="112"/>
      <c r="AT815" s="112"/>
    </row>
    <row r="816" ht="15.75" customHeight="1">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c r="AH816" s="112"/>
      <c r="AI816" s="112"/>
      <c r="AJ816" s="112"/>
      <c r="AK816" s="112"/>
      <c r="AL816" s="112"/>
      <c r="AM816" s="112"/>
      <c r="AN816" s="112"/>
      <c r="AO816" s="112"/>
      <c r="AP816" s="112"/>
      <c r="AQ816" s="112"/>
      <c r="AR816" s="112"/>
      <c r="AS816" s="112"/>
      <c r="AT816" s="112"/>
    </row>
    <row r="817" ht="15.75" customHeight="1">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c r="AH817" s="112"/>
      <c r="AI817" s="112"/>
      <c r="AJ817" s="112"/>
      <c r="AK817" s="112"/>
      <c r="AL817" s="112"/>
      <c r="AM817" s="112"/>
      <c r="AN817" s="112"/>
      <c r="AO817" s="112"/>
      <c r="AP817" s="112"/>
      <c r="AQ817" s="112"/>
      <c r="AR817" s="112"/>
      <c r="AS817" s="112"/>
      <c r="AT817" s="112"/>
    </row>
    <row r="818" ht="15.75" customHeight="1">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c r="AH818" s="112"/>
      <c r="AI818" s="112"/>
      <c r="AJ818" s="112"/>
      <c r="AK818" s="112"/>
      <c r="AL818" s="112"/>
      <c r="AM818" s="112"/>
      <c r="AN818" s="112"/>
      <c r="AO818" s="112"/>
      <c r="AP818" s="112"/>
      <c r="AQ818" s="112"/>
      <c r="AR818" s="112"/>
      <c r="AS818" s="112"/>
      <c r="AT818" s="112"/>
    </row>
    <row r="819" ht="15.75" customHeight="1">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c r="AH819" s="112"/>
      <c r="AI819" s="112"/>
      <c r="AJ819" s="112"/>
      <c r="AK819" s="112"/>
      <c r="AL819" s="112"/>
      <c r="AM819" s="112"/>
      <c r="AN819" s="112"/>
      <c r="AO819" s="112"/>
      <c r="AP819" s="112"/>
      <c r="AQ819" s="112"/>
      <c r="AR819" s="112"/>
      <c r="AS819" s="112"/>
      <c r="AT819" s="112"/>
    </row>
    <row r="820" ht="15.75" customHeight="1">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c r="AH820" s="112"/>
      <c r="AI820" s="112"/>
      <c r="AJ820" s="112"/>
      <c r="AK820" s="112"/>
      <c r="AL820" s="112"/>
      <c r="AM820" s="112"/>
      <c r="AN820" s="112"/>
      <c r="AO820" s="112"/>
      <c r="AP820" s="112"/>
      <c r="AQ820" s="112"/>
      <c r="AR820" s="112"/>
      <c r="AS820" s="112"/>
      <c r="AT820" s="112"/>
    </row>
    <row r="821" ht="15.75" customHeight="1">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c r="AH821" s="112"/>
      <c r="AI821" s="112"/>
      <c r="AJ821" s="112"/>
      <c r="AK821" s="112"/>
      <c r="AL821" s="112"/>
      <c r="AM821" s="112"/>
      <c r="AN821" s="112"/>
      <c r="AO821" s="112"/>
      <c r="AP821" s="112"/>
      <c r="AQ821" s="112"/>
      <c r="AR821" s="112"/>
      <c r="AS821" s="112"/>
      <c r="AT821" s="112"/>
    </row>
    <row r="822" ht="15.75" customHeight="1">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c r="AH822" s="112"/>
      <c r="AI822" s="112"/>
      <c r="AJ822" s="112"/>
      <c r="AK822" s="112"/>
      <c r="AL822" s="112"/>
      <c r="AM822" s="112"/>
      <c r="AN822" s="112"/>
      <c r="AO822" s="112"/>
      <c r="AP822" s="112"/>
      <c r="AQ822" s="112"/>
      <c r="AR822" s="112"/>
      <c r="AS822" s="112"/>
      <c r="AT822" s="112"/>
    </row>
    <row r="823" ht="15.75" customHeight="1">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c r="AH823" s="112"/>
      <c r="AI823" s="112"/>
      <c r="AJ823" s="112"/>
      <c r="AK823" s="112"/>
      <c r="AL823" s="112"/>
      <c r="AM823" s="112"/>
      <c r="AN823" s="112"/>
      <c r="AO823" s="112"/>
      <c r="AP823" s="112"/>
      <c r="AQ823" s="112"/>
      <c r="AR823" s="112"/>
      <c r="AS823" s="112"/>
      <c r="AT823" s="112"/>
    </row>
    <row r="824" ht="15.75" customHeight="1">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c r="AH824" s="112"/>
      <c r="AI824" s="112"/>
      <c r="AJ824" s="112"/>
      <c r="AK824" s="112"/>
      <c r="AL824" s="112"/>
      <c r="AM824" s="112"/>
      <c r="AN824" s="112"/>
      <c r="AO824" s="112"/>
      <c r="AP824" s="112"/>
      <c r="AQ824" s="112"/>
      <c r="AR824" s="112"/>
      <c r="AS824" s="112"/>
      <c r="AT824" s="112"/>
    </row>
    <row r="825" ht="15.75" customHeight="1">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c r="AH825" s="112"/>
      <c r="AI825" s="112"/>
      <c r="AJ825" s="112"/>
      <c r="AK825" s="112"/>
      <c r="AL825" s="112"/>
      <c r="AM825" s="112"/>
      <c r="AN825" s="112"/>
      <c r="AO825" s="112"/>
      <c r="AP825" s="112"/>
      <c r="AQ825" s="112"/>
      <c r="AR825" s="112"/>
      <c r="AS825" s="112"/>
      <c r="AT825" s="112"/>
    </row>
    <row r="826" ht="15.75" customHeight="1">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c r="AH826" s="112"/>
      <c r="AI826" s="112"/>
      <c r="AJ826" s="112"/>
      <c r="AK826" s="112"/>
      <c r="AL826" s="112"/>
      <c r="AM826" s="112"/>
      <c r="AN826" s="112"/>
      <c r="AO826" s="112"/>
      <c r="AP826" s="112"/>
      <c r="AQ826" s="112"/>
      <c r="AR826" s="112"/>
      <c r="AS826" s="112"/>
      <c r="AT826" s="112"/>
    </row>
    <row r="827" ht="15.75" customHeight="1">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c r="AH827" s="112"/>
      <c r="AI827" s="112"/>
      <c r="AJ827" s="112"/>
      <c r="AK827" s="112"/>
      <c r="AL827" s="112"/>
      <c r="AM827" s="112"/>
      <c r="AN827" s="112"/>
      <c r="AO827" s="112"/>
      <c r="AP827" s="112"/>
      <c r="AQ827" s="112"/>
      <c r="AR827" s="112"/>
      <c r="AS827" s="112"/>
      <c r="AT827" s="112"/>
    </row>
    <row r="828" ht="15.75" customHeight="1">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c r="AH828" s="112"/>
      <c r="AI828" s="112"/>
      <c r="AJ828" s="112"/>
      <c r="AK828" s="112"/>
      <c r="AL828" s="112"/>
      <c r="AM828" s="112"/>
      <c r="AN828" s="112"/>
      <c r="AO828" s="112"/>
      <c r="AP828" s="112"/>
      <c r="AQ828" s="112"/>
      <c r="AR828" s="112"/>
      <c r="AS828" s="112"/>
      <c r="AT828" s="112"/>
    </row>
    <row r="829" ht="15.75" customHeight="1">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c r="AH829" s="112"/>
      <c r="AI829" s="112"/>
      <c r="AJ829" s="112"/>
      <c r="AK829" s="112"/>
      <c r="AL829" s="112"/>
      <c r="AM829" s="112"/>
      <c r="AN829" s="112"/>
      <c r="AO829" s="112"/>
      <c r="AP829" s="112"/>
      <c r="AQ829" s="112"/>
      <c r="AR829" s="112"/>
      <c r="AS829" s="112"/>
      <c r="AT829" s="112"/>
    </row>
    <row r="830" ht="15.75" customHeight="1">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c r="AH830" s="112"/>
      <c r="AI830" s="112"/>
      <c r="AJ830" s="112"/>
      <c r="AK830" s="112"/>
      <c r="AL830" s="112"/>
      <c r="AM830" s="112"/>
      <c r="AN830" s="112"/>
      <c r="AO830" s="112"/>
      <c r="AP830" s="112"/>
      <c r="AQ830" s="112"/>
      <c r="AR830" s="112"/>
      <c r="AS830" s="112"/>
      <c r="AT830" s="112"/>
    </row>
    <row r="831" ht="15.75" customHeight="1">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c r="AH831" s="112"/>
      <c r="AI831" s="112"/>
      <c r="AJ831" s="112"/>
      <c r="AK831" s="112"/>
      <c r="AL831" s="112"/>
      <c r="AM831" s="112"/>
      <c r="AN831" s="112"/>
      <c r="AO831" s="112"/>
      <c r="AP831" s="112"/>
      <c r="AQ831" s="112"/>
      <c r="AR831" s="112"/>
      <c r="AS831" s="112"/>
      <c r="AT831" s="112"/>
    </row>
    <row r="832" ht="15.75" customHeight="1">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c r="AH832" s="112"/>
      <c r="AI832" s="112"/>
      <c r="AJ832" s="112"/>
      <c r="AK832" s="112"/>
      <c r="AL832" s="112"/>
      <c r="AM832" s="112"/>
      <c r="AN832" s="112"/>
      <c r="AO832" s="112"/>
      <c r="AP832" s="112"/>
      <c r="AQ832" s="112"/>
      <c r="AR832" s="112"/>
      <c r="AS832" s="112"/>
      <c r="AT832" s="112"/>
    </row>
    <row r="833" ht="15.75" customHeight="1">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c r="AH833" s="112"/>
      <c r="AI833" s="112"/>
      <c r="AJ833" s="112"/>
      <c r="AK833" s="112"/>
      <c r="AL833" s="112"/>
      <c r="AM833" s="112"/>
      <c r="AN833" s="112"/>
      <c r="AO833" s="112"/>
      <c r="AP833" s="112"/>
      <c r="AQ833" s="112"/>
      <c r="AR833" s="112"/>
      <c r="AS833" s="112"/>
      <c r="AT833" s="112"/>
    </row>
    <row r="834" ht="15.75" customHeight="1">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c r="AH834" s="112"/>
      <c r="AI834" s="112"/>
      <c r="AJ834" s="112"/>
      <c r="AK834" s="112"/>
      <c r="AL834" s="112"/>
      <c r="AM834" s="112"/>
      <c r="AN834" s="112"/>
      <c r="AO834" s="112"/>
      <c r="AP834" s="112"/>
      <c r="AQ834" s="112"/>
      <c r="AR834" s="112"/>
      <c r="AS834" s="112"/>
      <c r="AT834" s="112"/>
    </row>
    <row r="835" ht="15.75" customHeight="1">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c r="AH835" s="112"/>
      <c r="AI835" s="112"/>
      <c r="AJ835" s="112"/>
      <c r="AK835" s="112"/>
      <c r="AL835" s="112"/>
      <c r="AM835" s="112"/>
      <c r="AN835" s="112"/>
      <c r="AO835" s="112"/>
      <c r="AP835" s="112"/>
      <c r="AQ835" s="112"/>
      <c r="AR835" s="112"/>
      <c r="AS835" s="112"/>
      <c r="AT835" s="112"/>
    </row>
    <row r="836" ht="15.75" customHeight="1">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c r="AH836" s="112"/>
      <c r="AI836" s="112"/>
      <c r="AJ836" s="112"/>
      <c r="AK836" s="112"/>
      <c r="AL836" s="112"/>
      <c r="AM836" s="112"/>
      <c r="AN836" s="112"/>
      <c r="AO836" s="112"/>
      <c r="AP836" s="112"/>
      <c r="AQ836" s="112"/>
      <c r="AR836" s="112"/>
      <c r="AS836" s="112"/>
      <c r="AT836" s="112"/>
    </row>
    <row r="837" ht="15.75" customHeight="1">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c r="AH837" s="112"/>
      <c r="AI837" s="112"/>
      <c r="AJ837" s="112"/>
      <c r="AK837" s="112"/>
      <c r="AL837" s="112"/>
      <c r="AM837" s="112"/>
      <c r="AN837" s="112"/>
      <c r="AO837" s="112"/>
      <c r="AP837" s="112"/>
      <c r="AQ837" s="112"/>
      <c r="AR837" s="112"/>
      <c r="AS837" s="112"/>
      <c r="AT837" s="112"/>
    </row>
    <row r="838" ht="15.75" customHeight="1">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c r="AH838" s="112"/>
      <c r="AI838" s="112"/>
      <c r="AJ838" s="112"/>
      <c r="AK838" s="112"/>
      <c r="AL838" s="112"/>
      <c r="AM838" s="112"/>
      <c r="AN838" s="112"/>
      <c r="AO838" s="112"/>
      <c r="AP838" s="112"/>
      <c r="AQ838" s="112"/>
      <c r="AR838" s="112"/>
      <c r="AS838" s="112"/>
      <c r="AT838" s="112"/>
    </row>
    <row r="839" ht="15.75" customHeight="1">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c r="AH839" s="112"/>
      <c r="AI839" s="112"/>
      <c r="AJ839" s="112"/>
      <c r="AK839" s="112"/>
      <c r="AL839" s="112"/>
      <c r="AM839" s="112"/>
      <c r="AN839" s="112"/>
      <c r="AO839" s="112"/>
      <c r="AP839" s="112"/>
      <c r="AQ839" s="112"/>
      <c r="AR839" s="112"/>
      <c r="AS839" s="112"/>
      <c r="AT839" s="112"/>
    </row>
    <row r="840" ht="15.75" customHeight="1">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c r="AH840" s="112"/>
      <c r="AI840" s="112"/>
      <c r="AJ840" s="112"/>
      <c r="AK840" s="112"/>
      <c r="AL840" s="112"/>
      <c r="AM840" s="112"/>
      <c r="AN840" s="112"/>
      <c r="AO840" s="112"/>
      <c r="AP840" s="112"/>
      <c r="AQ840" s="112"/>
      <c r="AR840" s="112"/>
      <c r="AS840" s="112"/>
      <c r="AT840" s="112"/>
    </row>
    <row r="841" ht="15.75" customHeight="1">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c r="AH841" s="112"/>
      <c r="AI841" s="112"/>
      <c r="AJ841" s="112"/>
      <c r="AK841" s="112"/>
      <c r="AL841" s="112"/>
      <c r="AM841" s="112"/>
      <c r="AN841" s="112"/>
      <c r="AO841" s="112"/>
      <c r="AP841" s="112"/>
      <c r="AQ841" s="112"/>
      <c r="AR841" s="112"/>
      <c r="AS841" s="112"/>
      <c r="AT841" s="112"/>
    </row>
    <row r="842" ht="15.75" customHeight="1">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c r="AH842" s="112"/>
      <c r="AI842" s="112"/>
      <c r="AJ842" s="112"/>
      <c r="AK842" s="112"/>
      <c r="AL842" s="112"/>
      <c r="AM842" s="112"/>
      <c r="AN842" s="112"/>
      <c r="AO842" s="112"/>
      <c r="AP842" s="112"/>
      <c r="AQ842" s="112"/>
      <c r="AR842" s="112"/>
      <c r="AS842" s="112"/>
      <c r="AT842" s="112"/>
    </row>
    <row r="843" ht="15.75" customHeight="1">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c r="AH843" s="112"/>
      <c r="AI843" s="112"/>
      <c r="AJ843" s="112"/>
      <c r="AK843" s="112"/>
      <c r="AL843" s="112"/>
      <c r="AM843" s="112"/>
      <c r="AN843" s="112"/>
      <c r="AO843" s="112"/>
      <c r="AP843" s="112"/>
      <c r="AQ843" s="112"/>
      <c r="AR843" s="112"/>
      <c r="AS843" s="112"/>
      <c r="AT843" s="112"/>
    </row>
    <row r="844" ht="15.75" customHeight="1">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c r="AH844" s="112"/>
      <c r="AI844" s="112"/>
      <c r="AJ844" s="112"/>
      <c r="AK844" s="112"/>
      <c r="AL844" s="112"/>
      <c r="AM844" s="112"/>
      <c r="AN844" s="112"/>
      <c r="AO844" s="112"/>
      <c r="AP844" s="112"/>
      <c r="AQ844" s="112"/>
      <c r="AR844" s="112"/>
      <c r="AS844" s="112"/>
      <c r="AT844" s="112"/>
    </row>
    <row r="845" ht="15.75" customHeight="1">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c r="AH845" s="112"/>
      <c r="AI845" s="112"/>
      <c r="AJ845" s="112"/>
      <c r="AK845" s="112"/>
      <c r="AL845" s="112"/>
      <c r="AM845" s="112"/>
      <c r="AN845" s="112"/>
      <c r="AO845" s="112"/>
      <c r="AP845" s="112"/>
      <c r="AQ845" s="112"/>
      <c r="AR845" s="112"/>
      <c r="AS845" s="112"/>
      <c r="AT845" s="112"/>
    </row>
    <row r="846" ht="15.75" customHeight="1">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c r="AH846" s="112"/>
      <c r="AI846" s="112"/>
      <c r="AJ846" s="112"/>
      <c r="AK846" s="112"/>
      <c r="AL846" s="112"/>
      <c r="AM846" s="112"/>
      <c r="AN846" s="112"/>
      <c r="AO846" s="112"/>
      <c r="AP846" s="112"/>
      <c r="AQ846" s="112"/>
      <c r="AR846" s="112"/>
      <c r="AS846" s="112"/>
      <c r="AT846" s="112"/>
    </row>
    <row r="847" ht="15.75" customHeight="1">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c r="AH847" s="112"/>
      <c r="AI847" s="112"/>
      <c r="AJ847" s="112"/>
      <c r="AK847" s="112"/>
      <c r="AL847" s="112"/>
      <c r="AM847" s="112"/>
      <c r="AN847" s="112"/>
      <c r="AO847" s="112"/>
      <c r="AP847" s="112"/>
      <c r="AQ847" s="112"/>
      <c r="AR847" s="112"/>
      <c r="AS847" s="112"/>
      <c r="AT847" s="112"/>
    </row>
    <row r="848" ht="15.75" customHeight="1">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c r="AH848" s="112"/>
      <c r="AI848" s="112"/>
      <c r="AJ848" s="112"/>
      <c r="AK848" s="112"/>
      <c r="AL848" s="112"/>
      <c r="AM848" s="112"/>
      <c r="AN848" s="112"/>
      <c r="AO848" s="112"/>
      <c r="AP848" s="112"/>
      <c r="AQ848" s="112"/>
      <c r="AR848" s="112"/>
      <c r="AS848" s="112"/>
      <c r="AT848" s="112"/>
    </row>
    <row r="849" ht="15.75" customHeight="1">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c r="AH849" s="112"/>
      <c r="AI849" s="112"/>
      <c r="AJ849" s="112"/>
      <c r="AK849" s="112"/>
      <c r="AL849" s="112"/>
      <c r="AM849" s="112"/>
      <c r="AN849" s="112"/>
      <c r="AO849" s="112"/>
      <c r="AP849" s="112"/>
      <c r="AQ849" s="112"/>
      <c r="AR849" s="112"/>
      <c r="AS849" s="112"/>
      <c r="AT849" s="112"/>
    </row>
    <row r="850" ht="15.75" customHeight="1">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c r="AH850" s="112"/>
      <c r="AI850" s="112"/>
      <c r="AJ850" s="112"/>
      <c r="AK850" s="112"/>
      <c r="AL850" s="112"/>
      <c r="AM850" s="112"/>
      <c r="AN850" s="112"/>
      <c r="AO850" s="112"/>
      <c r="AP850" s="112"/>
      <c r="AQ850" s="112"/>
      <c r="AR850" s="112"/>
      <c r="AS850" s="112"/>
      <c r="AT850" s="112"/>
    </row>
    <row r="851" ht="15.75" customHeight="1">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c r="AH851" s="112"/>
      <c r="AI851" s="112"/>
      <c r="AJ851" s="112"/>
      <c r="AK851" s="112"/>
      <c r="AL851" s="112"/>
      <c r="AM851" s="112"/>
      <c r="AN851" s="112"/>
      <c r="AO851" s="112"/>
      <c r="AP851" s="112"/>
      <c r="AQ851" s="112"/>
      <c r="AR851" s="112"/>
      <c r="AS851" s="112"/>
      <c r="AT851" s="112"/>
    </row>
    <row r="852" ht="15.75" customHeight="1">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c r="AH852" s="112"/>
      <c r="AI852" s="112"/>
      <c r="AJ852" s="112"/>
      <c r="AK852" s="112"/>
      <c r="AL852" s="112"/>
      <c r="AM852" s="112"/>
      <c r="AN852" s="112"/>
      <c r="AO852" s="112"/>
      <c r="AP852" s="112"/>
      <c r="AQ852" s="112"/>
      <c r="AR852" s="112"/>
      <c r="AS852" s="112"/>
      <c r="AT852" s="112"/>
    </row>
    <row r="853" ht="15.75" customHeight="1">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c r="AH853" s="112"/>
      <c r="AI853" s="112"/>
      <c r="AJ853" s="112"/>
      <c r="AK853" s="112"/>
      <c r="AL853" s="112"/>
      <c r="AM853" s="112"/>
      <c r="AN853" s="112"/>
      <c r="AO853" s="112"/>
      <c r="AP853" s="112"/>
      <c r="AQ853" s="112"/>
      <c r="AR853" s="112"/>
      <c r="AS853" s="112"/>
      <c r="AT853" s="112"/>
    </row>
    <row r="854" ht="15.75" customHeight="1">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c r="AH854" s="112"/>
      <c r="AI854" s="112"/>
      <c r="AJ854" s="112"/>
      <c r="AK854" s="112"/>
      <c r="AL854" s="112"/>
      <c r="AM854" s="112"/>
      <c r="AN854" s="112"/>
      <c r="AO854" s="112"/>
      <c r="AP854" s="112"/>
      <c r="AQ854" s="112"/>
      <c r="AR854" s="112"/>
      <c r="AS854" s="112"/>
      <c r="AT854" s="112"/>
    </row>
    <row r="855" ht="15.75" customHeight="1">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c r="AH855" s="112"/>
      <c r="AI855" s="112"/>
      <c r="AJ855" s="112"/>
      <c r="AK855" s="112"/>
      <c r="AL855" s="112"/>
      <c r="AM855" s="112"/>
      <c r="AN855" s="112"/>
      <c r="AO855" s="112"/>
      <c r="AP855" s="112"/>
      <c r="AQ855" s="112"/>
      <c r="AR855" s="112"/>
      <c r="AS855" s="112"/>
      <c r="AT855" s="112"/>
    </row>
    <row r="856" ht="15.75" customHeight="1">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c r="AH856" s="112"/>
      <c r="AI856" s="112"/>
      <c r="AJ856" s="112"/>
      <c r="AK856" s="112"/>
      <c r="AL856" s="112"/>
      <c r="AM856" s="112"/>
      <c r="AN856" s="112"/>
      <c r="AO856" s="112"/>
      <c r="AP856" s="112"/>
      <c r="AQ856" s="112"/>
      <c r="AR856" s="112"/>
      <c r="AS856" s="112"/>
      <c r="AT856" s="112"/>
    </row>
    <row r="857" ht="15.75" customHeight="1">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c r="AH857" s="112"/>
      <c r="AI857" s="112"/>
      <c r="AJ857" s="112"/>
      <c r="AK857" s="112"/>
      <c r="AL857" s="112"/>
      <c r="AM857" s="112"/>
      <c r="AN857" s="112"/>
      <c r="AO857" s="112"/>
      <c r="AP857" s="112"/>
      <c r="AQ857" s="112"/>
      <c r="AR857" s="112"/>
      <c r="AS857" s="112"/>
      <c r="AT857" s="112"/>
    </row>
    <row r="858" ht="15.75" customHeight="1">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c r="AH858" s="112"/>
      <c r="AI858" s="112"/>
      <c r="AJ858" s="112"/>
      <c r="AK858" s="112"/>
      <c r="AL858" s="112"/>
      <c r="AM858" s="112"/>
      <c r="AN858" s="112"/>
      <c r="AO858" s="112"/>
      <c r="AP858" s="112"/>
      <c r="AQ858" s="112"/>
      <c r="AR858" s="112"/>
      <c r="AS858" s="112"/>
      <c r="AT858" s="112"/>
    </row>
    <row r="859" ht="15.75" customHeight="1">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c r="AH859" s="112"/>
      <c r="AI859" s="112"/>
      <c r="AJ859" s="112"/>
      <c r="AK859" s="112"/>
      <c r="AL859" s="112"/>
      <c r="AM859" s="112"/>
      <c r="AN859" s="112"/>
      <c r="AO859" s="112"/>
      <c r="AP859" s="112"/>
      <c r="AQ859" s="112"/>
      <c r="AR859" s="112"/>
      <c r="AS859" s="112"/>
      <c r="AT859" s="112"/>
    </row>
    <row r="860" ht="15.75" customHeight="1">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c r="AH860" s="112"/>
      <c r="AI860" s="112"/>
      <c r="AJ860" s="112"/>
      <c r="AK860" s="112"/>
      <c r="AL860" s="112"/>
      <c r="AM860" s="112"/>
      <c r="AN860" s="112"/>
      <c r="AO860" s="112"/>
      <c r="AP860" s="112"/>
      <c r="AQ860" s="112"/>
      <c r="AR860" s="112"/>
      <c r="AS860" s="112"/>
      <c r="AT860" s="112"/>
    </row>
    <row r="861" ht="15.75" customHeight="1">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c r="AH861" s="112"/>
      <c r="AI861" s="112"/>
      <c r="AJ861" s="112"/>
      <c r="AK861" s="112"/>
      <c r="AL861" s="112"/>
      <c r="AM861" s="112"/>
      <c r="AN861" s="112"/>
      <c r="AO861" s="112"/>
      <c r="AP861" s="112"/>
      <c r="AQ861" s="112"/>
      <c r="AR861" s="112"/>
      <c r="AS861" s="112"/>
      <c r="AT861" s="112"/>
    </row>
    <row r="862" ht="15.75" customHeight="1">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c r="AH862" s="112"/>
      <c r="AI862" s="112"/>
      <c r="AJ862" s="112"/>
      <c r="AK862" s="112"/>
      <c r="AL862" s="112"/>
      <c r="AM862" s="112"/>
      <c r="AN862" s="112"/>
      <c r="AO862" s="112"/>
      <c r="AP862" s="112"/>
      <c r="AQ862" s="112"/>
      <c r="AR862" s="112"/>
      <c r="AS862" s="112"/>
      <c r="AT862" s="112"/>
    </row>
    <row r="863" ht="15.75" customHeight="1">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c r="AH863" s="112"/>
      <c r="AI863" s="112"/>
      <c r="AJ863" s="112"/>
      <c r="AK863" s="112"/>
      <c r="AL863" s="112"/>
      <c r="AM863" s="112"/>
      <c r="AN863" s="112"/>
      <c r="AO863" s="112"/>
      <c r="AP863" s="112"/>
      <c r="AQ863" s="112"/>
      <c r="AR863" s="112"/>
      <c r="AS863" s="112"/>
      <c r="AT863" s="112"/>
    </row>
    <row r="864" ht="15.75" customHeight="1">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c r="AH864" s="112"/>
      <c r="AI864" s="112"/>
      <c r="AJ864" s="112"/>
      <c r="AK864" s="112"/>
      <c r="AL864" s="112"/>
      <c r="AM864" s="112"/>
      <c r="AN864" s="112"/>
      <c r="AO864" s="112"/>
      <c r="AP864" s="112"/>
      <c r="AQ864" s="112"/>
      <c r="AR864" s="112"/>
      <c r="AS864" s="112"/>
      <c r="AT864" s="112"/>
    </row>
    <row r="865" ht="15.75" customHeight="1">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c r="AH865" s="112"/>
      <c r="AI865" s="112"/>
      <c r="AJ865" s="112"/>
      <c r="AK865" s="112"/>
      <c r="AL865" s="112"/>
      <c r="AM865" s="112"/>
      <c r="AN865" s="112"/>
      <c r="AO865" s="112"/>
      <c r="AP865" s="112"/>
      <c r="AQ865" s="112"/>
      <c r="AR865" s="112"/>
      <c r="AS865" s="112"/>
      <c r="AT865" s="112"/>
    </row>
    <row r="866" ht="15.75" customHeight="1">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c r="AH866" s="112"/>
      <c r="AI866" s="112"/>
      <c r="AJ866" s="112"/>
      <c r="AK866" s="112"/>
      <c r="AL866" s="112"/>
      <c r="AM866" s="112"/>
      <c r="AN866" s="112"/>
      <c r="AO866" s="112"/>
      <c r="AP866" s="112"/>
      <c r="AQ866" s="112"/>
      <c r="AR866" s="112"/>
      <c r="AS866" s="112"/>
      <c r="AT866" s="112"/>
    </row>
    <row r="867" ht="15.75" customHeight="1">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c r="AH867" s="112"/>
      <c r="AI867" s="112"/>
      <c r="AJ867" s="112"/>
      <c r="AK867" s="112"/>
      <c r="AL867" s="112"/>
      <c r="AM867" s="112"/>
      <c r="AN867" s="112"/>
      <c r="AO867" s="112"/>
      <c r="AP867" s="112"/>
      <c r="AQ867" s="112"/>
      <c r="AR867" s="112"/>
      <c r="AS867" s="112"/>
      <c r="AT867" s="112"/>
    </row>
    <row r="868" ht="15.75" customHeight="1">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c r="AH868" s="112"/>
      <c r="AI868" s="112"/>
      <c r="AJ868" s="112"/>
      <c r="AK868" s="112"/>
      <c r="AL868" s="112"/>
      <c r="AM868" s="112"/>
      <c r="AN868" s="112"/>
      <c r="AO868" s="112"/>
      <c r="AP868" s="112"/>
      <c r="AQ868" s="112"/>
      <c r="AR868" s="112"/>
      <c r="AS868" s="112"/>
      <c r="AT868" s="112"/>
    </row>
    <row r="869" ht="15.75" customHeight="1">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c r="AH869" s="112"/>
      <c r="AI869" s="112"/>
      <c r="AJ869" s="112"/>
      <c r="AK869" s="112"/>
      <c r="AL869" s="112"/>
      <c r="AM869" s="112"/>
      <c r="AN869" s="112"/>
      <c r="AO869" s="112"/>
      <c r="AP869" s="112"/>
      <c r="AQ869" s="112"/>
      <c r="AR869" s="112"/>
      <c r="AS869" s="112"/>
      <c r="AT869" s="112"/>
    </row>
    <row r="870" ht="15.75" customHeight="1">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c r="AH870" s="112"/>
      <c r="AI870" s="112"/>
      <c r="AJ870" s="112"/>
      <c r="AK870" s="112"/>
      <c r="AL870" s="112"/>
      <c r="AM870" s="112"/>
      <c r="AN870" s="112"/>
      <c r="AO870" s="112"/>
      <c r="AP870" s="112"/>
      <c r="AQ870" s="112"/>
      <c r="AR870" s="112"/>
      <c r="AS870" s="112"/>
      <c r="AT870" s="112"/>
    </row>
    <row r="871" ht="15.75" customHeight="1">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c r="AH871" s="112"/>
      <c r="AI871" s="112"/>
      <c r="AJ871" s="112"/>
      <c r="AK871" s="112"/>
      <c r="AL871" s="112"/>
      <c r="AM871" s="112"/>
      <c r="AN871" s="112"/>
      <c r="AO871" s="112"/>
      <c r="AP871" s="112"/>
      <c r="AQ871" s="112"/>
      <c r="AR871" s="112"/>
      <c r="AS871" s="112"/>
      <c r="AT871" s="112"/>
    </row>
    <row r="872" ht="15.75" customHeight="1">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c r="AH872" s="112"/>
      <c r="AI872" s="112"/>
      <c r="AJ872" s="112"/>
      <c r="AK872" s="112"/>
      <c r="AL872" s="112"/>
      <c r="AM872" s="112"/>
      <c r="AN872" s="112"/>
      <c r="AO872" s="112"/>
      <c r="AP872" s="112"/>
      <c r="AQ872" s="112"/>
      <c r="AR872" s="112"/>
      <c r="AS872" s="112"/>
      <c r="AT872" s="112"/>
    </row>
    <row r="873" ht="15.75" customHeight="1">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c r="AH873" s="112"/>
      <c r="AI873" s="112"/>
      <c r="AJ873" s="112"/>
      <c r="AK873" s="112"/>
      <c r="AL873" s="112"/>
      <c r="AM873" s="112"/>
      <c r="AN873" s="112"/>
      <c r="AO873" s="112"/>
      <c r="AP873" s="112"/>
      <c r="AQ873" s="112"/>
      <c r="AR873" s="112"/>
      <c r="AS873" s="112"/>
      <c r="AT873" s="112"/>
    </row>
    <row r="874" ht="15.75" customHeight="1">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c r="AH874" s="112"/>
      <c r="AI874" s="112"/>
      <c r="AJ874" s="112"/>
      <c r="AK874" s="112"/>
      <c r="AL874" s="112"/>
      <c r="AM874" s="112"/>
      <c r="AN874" s="112"/>
      <c r="AO874" s="112"/>
      <c r="AP874" s="112"/>
      <c r="AQ874" s="112"/>
      <c r="AR874" s="112"/>
      <c r="AS874" s="112"/>
      <c r="AT874" s="112"/>
    </row>
    <row r="875" ht="15.75" customHeight="1">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c r="AH875" s="112"/>
      <c r="AI875" s="112"/>
      <c r="AJ875" s="112"/>
      <c r="AK875" s="112"/>
      <c r="AL875" s="112"/>
      <c r="AM875" s="112"/>
      <c r="AN875" s="112"/>
      <c r="AO875" s="112"/>
      <c r="AP875" s="112"/>
      <c r="AQ875" s="112"/>
      <c r="AR875" s="112"/>
      <c r="AS875" s="112"/>
      <c r="AT875" s="112"/>
    </row>
    <row r="876" ht="15.75" customHeight="1">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c r="AH876" s="112"/>
      <c r="AI876" s="112"/>
      <c r="AJ876" s="112"/>
      <c r="AK876" s="112"/>
      <c r="AL876" s="112"/>
      <c r="AM876" s="112"/>
      <c r="AN876" s="112"/>
      <c r="AO876" s="112"/>
      <c r="AP876" s="112"/>
      <c r="AQ876" s="112"/>
      <c r="AR876" s="112"/>
      <c r="AS876" s="112"/>
      <c r="AT876" s="112"/>
    </row>
    <row r="877" ht="15.75" customHeight="1">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c r="AH877" s="112"/>
      <c r="AI877" s="112"/>
      <c r="AJ877" s="112"/>
      <c r="AK877" s="112"/>
      <c r="AL877" s="112"/>
      <c r="AM877" s="112"/>
      <c r="AN877" s="112"/>
      <c r="AO877" s="112"/>
      <c r="AP877" s="112"/>
      <c r="AQ877" s="112"/>
      <c r="AR877" s="112"/>
      <c r="AS877" s="112"/>
      <c r="AT877" s="112"/>
    </row>
    <row r="878" ht="15.75" customHeight="1">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c r="AH878" s="112"/>
      <c r="AI878" s="112"/>
      <c r="AJ878" s="112"/>
      <c r="AK878" s="112"/>
      <c r="AL878" s="112"/>
      <c r="AM878" s="112"/>
      <c r="AN878" s="112"/>
      <c r="AO878" s="112"/>
      <c r="AP878" s="112"/>
      <c r="AQ878" s="112"/>
      <c r="AR878" s="112"/>
      <c r="AS878" s="112"/>
      <c r="AT878" s="112"/>
    </row>
    <row r="879" ht="15.75" customHeight="1">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c r="AH879" s="112"/>
      <c r="AI879" s="112"/>
      <c r="AJ879" s="112"/>
      <c r="AK879" s="112"/>
      <c r="AL879" s="112"/>
      <c r="AM879" s="112"/>
      <c r="AN879" s="112"/>
      <c r="AO879" s="112"/>
      <c r="AP879" s="112"/>
      <c r="AQ879" s="112"/>
      <c r="AR879" s="112"/>
      <c r="AS879" s="112"/>
      <c r="AT879" s="112"/>
    </row>
    <row r="880" ht="15.75" customHeight="1">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c r="AH880" s="112"/>
      <c r="AI880" s="112"/>
      <c r="AJ880" s="112"/>
      <c r="AK880" s="112"/>
      <c r="AL880" s="112"/>
      <c r="AM880" s="112"/>
      <c r="AN880" s="112"/>
      <c r="AO880" s="112"/>
      <c r="AP880" s="112"/>
      <c r="AQ880" s="112"/>
      <c r="AR880" s="112"/>
      <c r="AS880" s="112"/>
      <c r="AT880" s="112"/>
    </row>
    <row r="881" ht="15.75" customHeight="1">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c r="AH881" s="112"/>
      <c r="AI881" s="112"/>
      <c r="AJ881" s="112"/>
      <c r="AK881" s="112"/>
      <c r="AL881" s="112"/>
      <c r="AM881" s="112"/>
      <c r="AN881" s="112"/>
      <c r="AO881" s="112"/>
      <c r="AP881" s="112"/>
      <c r="AQ881" s="112"/>
      <c r="AR881" s="112"/>
      <c r="AS881" s="112"/>
      <c r="AT881" s="112"/>
    </row>
    <row r="882" ht="15.75" customHeight="1">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c r="AH882" s="112"/>
      <c r="AI882" s="112"/>
      <c r="AJ882" s="112"/>
      <c r="AK882" s="112"/>
      <c r="AL882" s="112"/>
      <c r="AM882" s="112"/>
      <c r="AN882" s="112"/>
      <c r="AO882" s="112"/>
      <c r="AP882" s="112"/>
      <c r="AQ882" s="112"/>
      <c r="AR882" s="112"/>
      <c r="AS882" s="112"/>
      <c r="AT882" s="112"/>
    </row>
    <row r="883" ht="15.75" customHeight="1">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c r="AH883" s="112"/>
      <c r="AI883" s="112"/>
      <c r="AJ883" s="112"/>
      <c r="AK883" s="112"/>
      <c r="AL883" s="112"/>
      <c r="AM883" s="112"/>
      <c r="AN883" s="112"/>
      <c r="AO883" s="112"/>
      <c r="AP883" s="112"/>
      <c r="AQ883" s="112"/>
      <c r="AR883" s="112"/>
      <c r="AS883" s="112"/>
      <c r="AT883" s="112"/>
    </row>
    <row r="884" ht="15.75" customHeight="1">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c r="AH884" s="112"/>
      <c r="AI884" s="112"/>
      <c r="AJ884" s="112"/>
      <c r="AK884" s="112"/>
      <c r="AL884" s="112"/>
      <c r="AM884" s="112"/>
      <c r="AN884" s="112"/>
      <c r="AO884" s="112"/>
      <c r="AP884" s="112"/>
      <c r="AQ884" s="112"/>
      <c r="AR884" s="112"/>
      <c r="AS884" s="112"/>
      <c r="AT884" s="112"/>
    </row>
    <row r="885" ht="15.75" customHeight="1">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c r="AH885" s="112"/>
      <c r="AI885" s="112"/>
      <c r="AJ885" s="112"/>
      <c r="AK885" s="112"/>
      <c r="AL885" s="112"/>
      <c r="AM885" s="112"/>
      <c r="AN885" s="112"/>
      <c r="AO885" s="112"/>
      <c r="AP885" s="112"/>
      <c r="AQ885" s="112"/>
      <c r="AR885" s="112"/>
      <c r="AS885" s="112"/>
      <c r="AT885" s="112"/>
    </row>
    <row r="886" ht="15.75" customHeight="1">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c r="AH886" s="112"/>
      <c r="AI886" s="112"/>
      <c r="AJ886" s="112"/>
      <c r="AK886" s="112"/>
      <c r="AL886" s="112"/>
      <c r="AM886" s="112"/>
      <c r="AN886" s="112"/>
      <c r="AO886" s="112"/>
      <c r="AP886" s="112"/>
      <c r="AQ886" s="112"/>
      <c r="AR886" s="112"/>
      <c r="AS886" s="112"/>
      <c r="AT886" s="112"/>
    </row>
    <row r="887" ht="15.75" customHeight="1">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c r="AH887" s="112"/>
      <c r="AI887" s="112"/>
      <c r="AJ887" s="112"/>
      <c r="AK887" s="112"/>
      <c r="AL887" s="112"/>
      <c r="AM887" s="112"/>
      <c r="AN887" s="112"/>
      <c r="AO887" s="112"/>
      <c r="AP887" s="112"/>
      <c r="AQ887" s="112"/>
      <c r="AR887" s="112"/>
      <c r="AS887" s="112"/>
      <c r="AT887" s="112"/>
    </row>
    <row r="888" ht="15.75" customHeight="1">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c r="AH888" s="112"/>
      <c r="AI888" s="112"/>
      <c r="AJ888" s="112"/>
      <c r="AK888" s="112"/>
      <c r="AL888" s="112"/>
      <c r="AM888" s="112"/>
      <c r="AN888" s="112"/>
      <c r="AO888" s="112"/>
      <c r="AP888" s="112"/>
      <c r="AQ888" s="112"/>
      <c r="AR888" s="112"/>
      <c r="AS888" s="112"/>
      <c r="AT888" s="112"/>
    </row>
    <row r="889" ht="15.75" customHeight="1">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c r="AH889" s="112"/>
      <c r="AI889" s="112"/>
      <c r="AJ889" s="112"/>
      <c r="AK889" s="112"/>
      <c r="AL889" s="112"/>
      <c r="AM889" s="112"/>
      <c r="AN889" s="112"/>
      <c r="AO889" s="112"/>
      <c r="AP889" s="112"/>
      <c r="AQ889" s="112"/>
      <c r="AR889" s="112"/>
      <c r="AS889" s="112"/>
      <c r="AT889" s="112"/>
    </row>
    <row r="890" ht="15.75" customHeight="1">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c r="AH890" s="112"/>
      <c r="AI890" s="112"/>
      <c r="AJ890" s="112"/>
      <c r="AK890" s="112"/>
      <c r="AL890" s="112"/>
      <c r="AM890" s="112"/>
      <c r="AN890" s="112"/>
      <c r="AO890" s="112"/>
      <c r="AP890" s="112"/>
      <c r="AQ890" s="112"/>
      <c r="AR890" s="112"/>
      <c r="AS890" s="112"/>
      <c r="AT890" s="112"/>
    </row>
    <row r="891" ht="15.75" customHeight="1">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c r="AH891" s="112"/>
      <c r="AI891" s="112"/>
      <c r="AJ891" s="112"/>
      <c r="AK891" s="112"/>
      <c r="AL891" s="112"/>
      <c r="AM891" s="112"/>
      <c r="AN891" s="112"/>
      <c r="AO891" s="112"/>
      <c r="AP891" s="112"/>
      <c r="AQ891" s="112"/>
      <c r="AR891" s="112"/>
      <c r="AS891" s="112"/>
      <c r="AT891" s="112"/>
    </row>
    <row r="892" ht="15.75" customHeight="1">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c r="AH892" s="112"/>
      <c r="AI892" s="112"/>
      <c r="AJ892" s="112"/>
      <c r="AK892" s="112"/>
      <c r="AL892" s="112"/>
      <c r="AM892" s="112"/>
      <c r="AN892" s="112"/>
      <c r="AO892" s="112"/>
      <c r="AP892" s="112"/>
      <c r="AQ892" s="112"/>
      <c r="AR892" s="112"/>
      <c r="AS892" s="112"/>
      <c r="AT892" s="112"/>
    </row>
    <row r="893" ht="15.75" customHeight="1">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c r="AH893" s="112"/>
      <c r="AI893" s="112"/>
      <c r="AJ893" s="112"/>
      <c r="AK893" s="112"/>
      <c r="AL893" s="112"/>
      <c r="AM893" s="112"/>
      <c r="AN893" s="112"/>
      <c r="AO893" s="112"/>
      <c r="AP893" s="112"/>
      <c r="AQ893" s="112"/>
      <c r="AR893" s="112"/>
      <c r="AS893" s="112"/>
      <c r="AT893" s="112"/>
    </row>
    <row r="894" ht="15.75" customHeight="1">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c r="AH894" s="112"/>
      <c r="AI894" s="112"/>
      <c r="AJ894" s="112"/>
      <c r="AK894" s="112"/>
      <c r="AL894" s="112"/>
      <c r="AM894" s="112"/>
      <c r="AN894" s="112"/>
      <c r="AO894" s="112"/>
      <c r="AP894" s="112"/>
      <c r="AQ894" s="112"/>
      <c r="AR894" s="112"/>
      <c r="AS894" s="112"/>
      <c r="AT894" s="112"/>
    </row>
    <row r="895" ht="15.75" customHeight="1">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c r="AH895" s="112"/>
      <c r="AI895" s="112"/>
      <c r="AJ895" s="112"/>
      <c r="AK895" s="112"/>
      <c r="AL895" s="112"/>
      <c r="AM895" s="112"/>
      <c r="AN895" s="112"/>
      <c r="AO895" s="112"/>
      <c r="AP895" s="112"/>
      <c r="AQ895" s="112"/>
      <c r="AR895" s="112"/>
      <c r="AS895" s="112"/>
      <c r="AT895" s="112"/>
    </row>
    <row r="896" ht="15.75" customHeight="1">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c r="AH896" s="112"/>
      <c r="AI896" s="112"/>
      <c r="AJ896" s="112"/>
      <c r="AK896" s="112"/>
      <c r="AL896" s="112"/>
      <c r="AM896" s="112"/>
      <c r="AN896" s="112"/>
      <c r="AO896" s="112"/>
      <c r="AP896" s="112"/>
      <c r="AQ896" s="112"/>
      <c r="AR896" s="112"/>
      <c r="AS896" s="112"/>
      <c r="AT896" s="112"/>
    </row>
    <row r="897" ht="15.75" customHeight="1">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c r="AH897" s="112"/>
      <c r="AI897" s="112"/>
      <c r="AJ897" s="112"/>
      <c r="AK897" s="112"/>
      <c r="AL897" s="112"/>
      <c r="AM897" s="112"/>
      <c r="AN897" s="112"/>
      <c r="AO897" s="112"/>
      <c r="AP897" s="112"/>
      <c r="AQ897" s="112"/>
      <c r="AR897" s="112"/>
      <c r="AS897" s="112"/>
      <c r="AT897" s="112"/>
    </row>
    <row r="898" ht="15.75" customHeight="1">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c r="AH898" s="112"/>
      <c r="AI898" s="112"/>
      <c r="AJ898" s="112"/>
      <c r="AK898" s="112"/>
      <c r="AL898" s="112"/>
      <c r="AM898" s="112"/>
      <c r="AN898" s="112"/>
      <c r="AO898" s="112"/>
      <c r="AP898" s="112"/>
      <c r="AQ898" s="112"/>
      <c r="AR898" s="112"/>
      <c r="AS898" s="112"/>
      <c r="AT898" s="112"/>
    </row>
    <row r="899" ht="15.75" customHeight="1">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c r="AH899" s="112"/>
      <c r="AI899" s="112"/>
      <c r="AJ899" s="112"/>
      <c r="AK899" s="112"/>
      <c r="AL899" s="112"/>
      <c r="AM899" s="112"/>
      <c r="AN899" s="112"/>
      <c r="AO899" s="112"/>
      <c r="AP899" s="112"/>
      <c r="AQ899" s="112"/>
      <c r="AR899" s="112"/>
      <c r="AS899" s="112"/>
      <c r="AT899" s="112"/>
    </row>
    <row r="900" ht="15.75" customHeight="1">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c r="AH900" s="112"/>
      <c r="AI900" s="112"/>
      <c r="AJ900" s="112"/>
      <c r="AK900" s="112"/>
      <c r="AL900" s="112"/>
      <c r="AM900" s="112"/>
      <c r="AN900" s="112"/>
      <c r="AO900" s="112"/>
      <c r="AP900" s="112"/>
      <c r="AQ900" s="112"/>
      <c r="AR900" s="112"/>
      <c r="AS900" s="112"/>
      <c r="AT900" s="112"/>
    </row>
    <row r="901" ht="15.75" customHeight="1">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c r="AH901" s="112"/>
      <c r="AI901" s="112"/>
      <c r="AJ901" s="112"/>
      <c r="AK901" s="112"/>
      <c r="AL901" s="112"/>
      <c r="AM901" s="112"/>
      <c r="AN901" s="112"/>
      <c r="AO901" s="112"/>
      <c r="AP901" s="112"/>
      <c r="AQ901" s="112"/>
      <c r="AR901" s="112"/>
      <c r="AS901" s="112"/>
      <c r="AT901" s="112"/>
    </row>
    <row r="902" ht="15.75" customHeight="1">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c r="AH902" s="112"/>
      <c r="AI902" s="112"/>
      <c r="AJ902" s="112"/>
      <c r="AK902" s="112"/>
      <c r="AL902" s="112"/>
      <c r="AM902" s="112"/>
      <c r="AN902" s="112"/>
      <c r="AO902" s="112"/>
      <c r="AP902" s="112"/>
      <c r="AQ902" s="112"/>
      <c r="AR902" s="112"/>
      <c r="AS902" s="112"/>
      <c r="AT902" s="112"/>
    </row>
    <row r="903" ht="15.75" customHeight="1">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c r="AH903" s="112"/>
      <c r="AI903" s="112"/>
      <c r="AJ903" s="112"/>
      <c r="AK903" s="112"/>
      <c r="AL903" s="112"/>
      <c r="AM903" s="112"/>
      <c r="AN903" s="112"/>
      <c r="AO903" s="112"/>
      <c r="AP903" s="112"/>
      <c r="AQ903" s="112"/>
      <c r="AR903" s="112"/>
      <c r="AS903" s="112"/>
      <c r="AT903" s="112"/>
    </row>
    <row r="904" ht="15.75" customHeight="1">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c r="AH904" s="112"/>
      <c r="AI904" s="112"/>
      <c r="AJ904" s="112"/>
      <c r="AK904" s="112"/>
      <c r="AL904" s="112"/>
      <c r="AM904" s="112"/>
      <c r="AN904" s="112"/>
      <c r="AO904" s="112"/>
      <c r="AP904" s="112"/>
      <c r="AQ904" s="112"/>
      <c r="AR904" s="112"/>
      <c r="AS904" s="112"/>
      <c r="AT904" s="112"/>
    </row>
    <row r="905" ht="15.75" customHeight="1">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c r="AH905" s="112"/>
      <c r="AI905" s="112"/>
      <c r="AJ905" s="112"/>
      <c r="AK905" s="112"/>
      <c r="AL905" s="112"/>
      <c r="AM905" s="112"/>
      <c r="AN905" s="112"/>
      <c r="AO905" s="112"/>
      <c r="AP905" s="112"/>
      <c r="AQ905" s="112"/>
      <c r="AR905" s="112"/>
      <c r="AS905" s="112"/>
      <c r="AT905" s="112"/>
    </row>
    <row r="906" ht="15.75" customHeight="1">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c r="AH906" s="112"/>
      <c r="AI906" s="112"/>
      <c r="AJ906" s="112"/>
      <c r="AK906" s="112"/>
      <c r="AL906" s="112"/>
      <c r="AM906" s="112"/>
      <c r="AN906" s="112"/>
      <c r="AO906" s="112"/>
      <c r="AP906" s="112"/>
      <c r="AQ906" s="112"/>
      <c r="AR906" s="112"/>
      <c r="AS906" s="112"/>
      <c r="AT906" s="112"/>
    </row>
    <row r="907" ht="15.75" customHeight="1">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c r="AH907" s="112"/>
      <c r="AI907" s="112"/>
      <c r="AJ907" s="112"/>
      <c r="AK907" s="112"/>
      <c r="AL907" s="112"/>
      <c r="AM907" s="112"/>
      <c r="AN907" s="112"/>
      <c r="AO907" s="112"/>
      <c r="AP907" s="112"/>
      <c r="AQ907" s="112"/>
      <c r="AR907" s="112"/>
      <c r="AS907" s="112"/>
      <c r="AT907" s="112"/>
    </row>
    <row r="908" ht="15.75" customHeight="1">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c r="AH908" s="112"/>
      <c r="AI908" s="112"/>
      <c r="AJ908" s="112"/>
      <c r="AK908" s="112"/>
      <c r="AL908" s="112"/>
      <c r="AM908" s="112"/>
      <c r="AN908" s="112"/>
      <c r="AO908" s="112"/>
      <c r="AP908" s="112"/>
      <c r="AQ908" s="112"/>
      <c r="AR908" s="112"/>
      <c r="AS908" s="112"/>
      <c r="AT908" s="112"/>
    </row>
    <row r="909" ht="15.75" customHeight="1">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c r="AH909" s="112"/>
      <c r="AI909" s="112"/>
      <c r="AJ909" s="112"/>
      <c r="AK909" s="112"/>
      <c r="AL909" s="112"/>
      <c r="AM909" s="112"/>
      <c r="AN909" s="112"/>
      <c r="AO909" s="112"/>
      <c r="AP909" s="112"/>
      <c r="AQ909" s="112"/>
      <c r="AR909" s="112"/>
      <c r="AS909" s="112"/>
      <c r="AT909" s="112"/>
    </row>
    <row r="910" ht="15.75" customHeight="1">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c r="AH910" s="112"/>
      <c r="AI910" s="112"/>
      <c r="AJ910" s="112"/>
      <c r="AK910" s="112"/>
      <c r="AL910" s="112"/>
      <c r="AM910" s="112"/>
      <c r="AN910" s="112"/>
      <c r="AO910" s="112"/>
      <c r="AP910" s="112"/>
      <c r="AQ910" s="112"/>
      <c r="AR910" s="112"/>
      <c r="AS910" s="112"/>
      <c r="AT910" s="112"/>
    </row>
    <row r="911" ht="15.75" customHeight="1">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c r="AH911" s="112"/>
      <c r="AI911" s="112"/>
      <c r="AJ911" s="112"/>
      <c r="AK911" s="112"/>
      <c r="AL911" s="112"/>
      <c r="AM911" s="112"/>
      <c r="AN911" s="112"/>
      <c r="AO911" s="112"/>
      <c r="AP911" s="112"/>
      <c r="AQ911" s="112"/>
      <c r="AR911" s="112"/>
      <c r="AS911" s="112"/>
      <c r="AT911" s="112"/>
    </row>
    <row r="912" ht="15.75" customHeight="1">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c r="AH912" s="112"/>
      <c r="AI912" s="112"/>
      <c r="AJ912" s="112"/>
      <c r="AK912" s="112"/>
      <c r="AL912" s="112"/>
      <c r="AM912" s="112"/>
      <c r="AN912" s="112"/>
      <c r="AO912" s="112"/>
      <c r="AP912" s="112"/>
      <c r="AQ912" s="112"/>
      <c r="AR912" s="112"/>
      <c r="AS912" s="112"/>
      <c r="AT912" s="112"/>
    </row>
    <row r="913" ht="15.75" customHeight="1">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c r="AH913" s="112"/>
      <c r="AI913" s="112"/>
      <c r="AJ913" s="112"/>
      <c r="AK913" s="112"/>
      <c r="AL913" s="112"/>
      <c r="AM913" s="112"/>
      <c r="AN913" s="112"/>
      <c r="AO913" s="112"/>
      <c r="AP913" s="112"/>
      <c r="AQ913" s="112"/>
      <c r="AR913" s="112"/>
      <c r="AS913" s="112"/>
      <c r="AT913" s="112"/>
    </row>
    <row r="914" ht="15.75" customHeight="1">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c r="AH914" s="112"/>
      <c r="AI914" s="112"/>
      <c r="AJ914" s="112"/>
      <c r="AK914" s="112"/>
      <c r="AL914" s="112"/>
      <c r="AM914" s="112"/>
      <c r="AN914" s="112"/>
      <c r="AO914" s="112"/>
      <c r="AP914" s="112"/>
      <c r="AQ914" s="112"/>
      <c r="AR914" s="112"/>
      <c r="AS914" s="112"/>
      <c r="AT914" s="112"/>
    </row>
    <row r="915" ht="15.75" customHeight="1">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c r="AH915" s="112"/>
      <c r="AI915" s="112"/>
      <c r="AJ915" s="112"/>
      <c r="AK915" s="112"/>
      <c r="AL915" s="112"/>
      <c r="AM915" s="112"/>
      <c r="AN915" s="112"/>
      <c r="AO915" s="112"/>
      <c r="AP915" s="112"/>
      <c r="AQ915" s="112"/>
      <c r="AR915" s="112"/>
      <c r="AS915" s="112"/>
      <c r="AT915" s="112"/>
    </row>
    <row r="916" ht="15.75" customHeight="1">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c r="AH916" s="112"/>
      <c r="AI916" s="112"/>
      <c r="AJ916" s="112"/>
      <c r="AK916" s="112"/>
      <c r="AL916" s="112"/>
      <c r="AM916" s="112"/>
      <c r="AN916" s="112"/>
      <c r="AO916" s="112"/>
      <c r="AP916" s="112"/>
      <c r="AQ916" s="112"/>
      <c r="AR916" s="112"/>
      <c r="AS916" s="112"/>
      <c r="AT916" s="112"/>
    </row>
    <row r="917" ht="15.75" customHeight="1">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c r="AH917" s="112"/>
      <c r="AI917" s="112"/>
      <c r="AJ917" s="112"/>
      <c r="AK917" s="112"/>
      <c r="AL917" s="112"/>
      <c r="AM917" s="112"/>
      <c r="AN917" s="112"/>
      <c r="AO917" s="112"/>
      <c r="AP917" s="112"/>
      <c r="AQ917" s="112"/>
      <c r="AR917" s="112"/>
      <c r="AS917" s="112"/>
      <c r="AT917" s="112"/>
    </row>
    <row r="918" ht="15.75" customHeight="1">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c r="AH918" s="112"/>
      <c r="AI918" s="112"/>
      <c r="AJ918" s="112"/>
      <c r="AK918" s="112"/>
      <c r="AL918" s="112"/>
      <c r="AM918" s="112"/>
      <c r="AN918" s="112"/>
      <c r="AO918" s="112"/>
      <c r="AP918" s="112"/>
      <c r="AQ918" s="112"/>
      <c r="AR918" s="112"/>
      <c r="AS918" s="112"/>
      <c r="AT918" s="112"/>
    </row>
    <row r="919" ht="15.75" customHeight="1">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c r="AH919" s="112"/>
      <c r="AI919" s="112"/>
      <c r="AJ919" s="112"/>
      <c r="AK919" s="112"/>
      <c r="AL919" s="112"/>
      <c r="AM919" s="112"/>
      <c r="AN919" s="112"/>
      <c r="AO919" s="112"/>
      <c r="AP919" s="112"/>
      <c r="AQ919" s="112"/>
      <c r="AR919" s="112"/>
      <c r="AS919" s="112"/>
      <c r="AT919" s="112"/>
    </row>
    <row r="920" ht="15.75" customHeight="1">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c r="AH920" s="112"/>
      <c r="AI920" s="112"/>
      <c r="AJ920" s="112"/>
      <c r="AK920" s="112"/>
      <c r="AL920" s="112"/>
      <c r="AM920" s="112"/>
      <c r="AN920" s="112"/>
      <c r="AO920" s="112"/>
      <c r="AP920" s="112"/>
      <c r="AQ920" s="112"/>
      <c r="AR920" s="112"/>
      <c r="AS920" s="112"/>
      <c r="AT920" s="112"/>
    </row>
    <row r="921" ht="15.75" customHeight="1">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c r="AH921" s="112"/>
      <c r="AI921" s="112"/>
      <c r="AJ921" s="112"/>
      <c r="AK921" s="112"/>
      <c r="AL921" s="112"/>
      <c r="AM921" s="112"/>
      <c r="AN921" s="112"/>
      <c r="AO921" s="112"/>
      <c r="AP921" s="112"/>
      <c r="AQ921" s="112"/>
      <c r="AR921" s="112"/>
      <c r="AS921" s="112"/>
      <c r="AT921" s="112"/>
    </row>
    <row r="922" ht="15.75" customHeight="1">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c r="AH922" s="112"/>
      <c r="AI922" s="112"/>
      <c r="AJ922" s="112"/>
      <c r="AK922" s="112"/>
      <c r="AL922" s="112"/>
      <c r="AM922" s="112"/>
      <c r="AN922" s="112"/>
      <c r="AO922" s="112"/>
      <c r="AP922" s="112"/>
      <c r="AQ922" s="112"/>
      <c r="AR922" s="112"/>
      <c r="AS922" s="112"/>
      <c r="AT922" s="112"/>
    </row>
    <row r="923" ht="15.75" customHeight="1">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c r="AH923" s="112"/>
      <c r="AI923" s="112"/>
      <c r="AJ923" s="112"/>
      <c r="AK923" s="112"/>
      <c r="AL923" s="112"/>
      <c r="AM923" s="112"/>
      <c r="AN923" s="112"/>
      <c r="AO923" s="112"/>
      <c r="AP923" s="112"/>
      <c r="AQ923" s="112"/>
      <c r="AR923" s="112"/>
      <c r="AS923" s="112"/>
      <c r="AT923" s="112"/>
    </row>
    <row r="924" ht="15.75" customHeight="1">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c r="AH924" s="112"/>
      <c r="AI924" s="112"/>
      <c r="AJ924" s="112"/>
      <c r="AK924" s="112"/>
      <c r="AL924" s="112"/>
      <c r="AM924" s="112"/>
      <c r="AN924" s="112"/>
      <c r="AO924" s="112"/>
      <c r="AP924" s="112"/>
      <c r="AQ924" s="112"/>
      <c r="AR924" s="112"/>
      <c r="AS924" s="112"/>
      <c r="AT924" s="112"/>
    </row>
    <row r="925" ht="15.75" customHeight="1">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c r="AH925" s="112"/>
      <c r="AI925" s="112"/>
      <c r="AJ925" s="112"/>
      <c r="AK925" s="112"/>
      <c r="AL925" s="112"/>
      <c r="AM925" s="112"/>
      <c r="AN925" s="112"/>
      <c r="AO925" s="112"/>
      <c r="AP925" s="112"/>
      <c r="AQ925" s="112"/>
      <c r="AR925" s="112"/>
      <c r="AS925" s="112"/>
      <c r="AT925" s="112"/>
    </row>
    <row r="926" ht="15.75" customHeight="1">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c r="AH926" s="112"/>
      <c r="AI926" s="112"/>
      <c r="AJ926" s="112"/>
      <c r="AK926" s="112"/>
      <c r="AL926" s="112"/>
      <c r="AM926" s="112"/>
      <c r="AN926" s="112"/>
      <c r="AO926" s="112"/>
      <c r="AP926" s="112"/>
      <c r="AQ926" s="112"/>
      <c r="AR926" s="112"/>
      <c r="AS926" s="112"/>
      <c r="AT926" s="112"/>
    </row>
    <row r="927" ht="15.75" customHeight="1">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c r="AH927" s="112"/>
      <c r="AI927" s="112"/>
      <c r="AJ927" s="112"/>
      <c r="AK927" s="112"/>
      <c r="AL927" s="112"/>
      <c r="AM927" s="112"/>
      <c r="AN927" s="112"/>
      <c r="AO927" s="112"/>
      <c r="AP927" s="112"/>
      <c r="AQ927" s="112"/>
      <c r="AR927" s="112"/>
      <c r="AS927" s="112"/>
      <c r="AT927" s="112"/>
    </row>
    <row r="928" ht="15.75" customHeight="1">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c r="AH928" s="112"/>
      <c r="AI928" s="112"/>
      <c r="AJ928" s="112"/>
      <c r="AK928" s="112"/>
      <c r="AL928" s="112"/>
      <c r="AM928" s="112"/>
      <c r="AN928" s="112"/>
      <c r="AO928" s="112"/>
      <c r="AP928" s="112"/>
      <c r="AQ928" s="112"/>
      <c r="AR928" s="112"/>
      <c r="AS928" s="112"/>
      <c r="AT928" s="112"/>
    </row>
    <row r="929" ht="15.75" customHeight="1">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c r="AH929" s="112"/>
      <c r="AI929" s="112"/>
      <c r="AJ929" s="112"/>
      <c r="AK929" s="112"/>
      <c r="AL929" s="112"/>
      <c r="AM929" s="112"/>
      <c r="AN929" s="112"/>
      <c r="AO929" s="112"/>
      <c r="AP929" s="112"/>
      <c r="AQ929" s="112"/>
      <c r="AR929" s="112"/>
      <c r="AS929" s="112"/>
      <c r="AT929" s="112"/>
    </row>
    <row r="930" ht="15.75" customHeight="1">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c r="AH930" s="112"/>
      <c r="AI930" s="112"/>
      <c r="AJ930" s="112"/>
      <c r="AK930" s="112"/>
      <c r="AL930" s="112"/>
      <c r="AM930" s="112"/>
      <c r="AN930" s="112"/>
      <c r="AO930" s="112"/>
      <c r="AP930" s="112"/>
      <c r="AQ930" s="112"/>
      <c r="AR930" s="112"/>
      <c r="AS930" s="112"/>
      <c r="AT930" s="112"/>
    </row>
    <row r="931" ht="15.75" customHeight="1">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c r="AH931" s="112"/>
      <c r="AI931" s="112"/>
      <c r="AJ931" s="112"/>
      <c r="AK931" s="112"/>
      <c r="AL931" s="112"/>
      <c r="AM931" s="112"/>
      <c r="AN931" s="112"/>
      <c r="AO931" s="112"/>
      <c r="AP931" s="112"/>
      <c r="AQ931" s="112"/>
      <c r="AR931" s="112"/>
      <c r="AS931" s="112"/>
      <c r="AT931" s="112"/>
    </row>
    <row r="932" ht="15.75" customHeight="1">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c r="AH932" s="112"/>
      <c r="AI932" s="112"/>
      <c r="AJ932" s="112"/>
      <c r="AK932" s="112"/>
      <c r="AL932" s="112"/>
      <c r="AM932" s="112"/>
      <c r="AN932" s="112"/>
      <c r="AO932" s="112"/>
      <c r="AP932" s="112"/>
      <c r="AQ932" s="112"/>
      <c r="AR932" s="112"/>
      <c r="AS932" s="112"/>
      <c r="AT932" s="112"/>
    </row>
    <row r="933" ht="15.75" customHeight="1">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c r="AH933" s="112"/>
      <c r="AI933" s="112"/>
      <c r="AJ933" s="112"/>
      <c r="AK933" s="112"/>
      <c r="AL933" s="112"/>
      <c r="AM933" s="112"/>
      <c r="AN933" s="112"/>
      <c r="AO933" s="112"/>
      <c r="AP933" s="112"/>
      <c r="AQ933" s="112"/>
      <c r="AR933" s="112"/>
      <c r="AS933" s="112"/>
      <c r="AT933" s="112"/>
    </row>
    <row r="934" ht="15.75" customHeight="1">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c r="AH934" s="112"/>
      <c r="AI934" s="112"/>
      <c r="AJ934" s="112"/>
      <c r="AK934" s="112"/>
      <c r="AL934" s="112"/>
      <c r="AM934" s="112"/>
      <c r="AN934" s="112"/>
      <c r="AO934" s="112"/>
      <c r="AP934" s="112"/>
      <c r="AQ934" s="112"/>
      <c r="AR934" s="112"/>
      <c r="AS934" s="112"/>
      <c r="AT934" s="112"/>
    </row>
    <row r="935" ht="15.75" customHeight="1">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c r="AH935" s="112"/>
      <c r="AI935" s="112"/>
      <c r="AJ935" s="112"/>
      <c r="AK935" s="112"/>
      <c r="AL935" s="112"/>
      <c r="AM935" s="112"/>
      <c r="AN935" s="112"/>
      <c r="AO935" s="112"/>
      <c r="AP935" s="112"/>
      <c r="AQ935" s="112"/>
      <c r="AR935" s="112"/>
      <c r="AS935" s="112"/>
      <c r="AT935" s="112"/>
    </row>
    <row r="936" ht="15.75" customHeight="1">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c r="AH936" s="112"/>
      <c r="AI936" s="112"/>
      <c r="AJ936" s="112"/>
      <c r="AK936" s="112"/>
      <c r="AL936" s="112"/>
      <c r="AM936" s="112"/>
      <c r="AN936" s="112"/>
      <c r="AO936" s="112"/>
      <c r="AP936" s="112"/>
      <c r="AQ936" s="112"/>
      <c r="AR936" s="112"/>
      <c r="AS936" s="112"/>
      <c r="AT936" s="112"/>
    </row>
    <row r="937" ht="15.75" customHeight="1">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c r="AG937" s="112"/>
      <c r="AH937" s="112"/>
      <c r="AI937" s="112"/>
      <c r="AJ937" s="112"/>
      <c r="AK937" s="112"/>
      <c r="AL937" s="112"/>
      <c r="AM937" s="112"/>
      <c r="AN937" s="112"/>
      <c r="AO937" s="112"/>
      <c r="AP937" s="112"/>
      <c r="AQ937" s="112"/>
      <c r="AR937" s="112"/>
      <c r="AS937" s="112"/>
      <c r="AT937" s="112"/>
    </row>
    <row r="938" ht="15.75" customHeight="1">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c r="AG938" s="112"/>
      <c r="AH938" s="112"/>
      <c r="AI938" s="112"/>
      <c r="AJ938" s="112"/>
      <c r="AK938" s="112"/>
      <c r="AL938" s="112"/>
      <c r="AM938" s="112"/>
      <c r="AN938" s="112"/>
      <c r="AO938" s="112"/>
      <c r="AP938" s="112"/>
      <c r="AQ938" s="112"/>
      <c r="AR938" s="112"/>
      <c r="AS938" s="112"/>
      <c r="AT938" s="112"/>
    </row>
    <row r="939" ht="15.75" customHeight="1">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c r="AG939" s="112"/>
      <c r="AH939" s="112"/>
      <c r="AI939" s="112"/>
      <c r="AJ939" s="112"/>
      <c r="AK939" s="112"/>
      <c r="AL939" s="112"/>
      <c r="AM939" s="112"/>
      <c r="AN939" s="112"/>
      <c r="AO939" s="112"/>
      <c r="AP939" s="112"/>
      <c r="AQ939" s="112"/>
      <c r="AR939" s="112"/>
      <c r="AS939" s="112"/>
      <c r="AT939" s="112"/>
    </row>
    <row r="940" ht="15.75" customHeight="1">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c r="AG940" s="112"/>
      <c r="AH940" s="112"/>
      <c r="AI940" s="112"/>
      <c r="AJ940" s="112"/>
      <c r="AK940" s="112"/>
      <c r="AL940" s="112"/>
      <c r="AM940" s="112"/>
      <c r="AN940" s="112"/>
      <c r="AO940" s="112"/>
      <c r="AP940" s="112"/>
      <c r="AQ940" s="112"/>
      <c r="AR940" s="112"/>
      <c r="AS940" s="112"/>
      <c r="AT940" s="112"/>
    </row>
    <row r="941" ht="15.75" customHeight="1">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c r="AG941" s="112"/>
      <c r="AH941" s="112"/>
      <c r="AI941" s="112"/>
      <c r="AJ941" s="112"/>
      <c r="AK941" s="112"/>
      <c r="AL941" s="112"/>
      <c r="AM941" s="112"/>
      <c r="AN941" s="112"/>
      <c r="AO941" s="112"/>
      <c r="AP941" s="112"/>
      <c r="AQ941" s="112"/>
      <c r="AR941" s="112"/>
      <c r="AS941" s="112"/>
      <c r="AT941" s="112"/>
    </row>
    <row r="942" ht="15.75" customHeight="1">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c r="AG942" s="112"/>
      <c r="AH942" s="112"/>
      <c r="AI942" s="112"/>
      <c r="AJ942" s="112"/>
      <c r="AK942" s="112"/>
      <c r="AL942" s="112"/>
      <c r="AM942" s="112"/>
      <c r="AN942" s="112"/>
      <c r="AO942" s="112"/>
      <c r="AP942" s="112"/>
      <c r="AQ942" s="112"/>
      <c r="AR942" s="112"/>
      <c r="AS942" s="112"/>
      <c r="AT942" s="112"/>
    </row>
    <row r="943" ht="15.75" customHeight="1">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c r="AG943" s="112"/>
      <c r="AH943" s="112"/>
      <c r="AI943" s="112"/>
      <c r="AJ943" s="112"/>
      <c r="AK943" s="112"/>
      <c r="AL943" s="112"/>
      <c r="AM943" s="112"/>
      <c r="AN943" s="112"/>
      <c r="AO943" s="112"/>
      <c r="AP943" s="112"/>
      <c r="AQ943" s="112"/>
      <c r="AR943" s="112"/>
      <c r="AS943" s="112"/>
      <c r="AT943" s="112"/>
    </row>
    <row r="944" ht="15.75" customHeight="1">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c r="AB944" s="112"/>
      <c r="AC944" s="112"/>
      <c r="AD944" s="112"/>
      <c r="AE944" s="112"/>
      <c r="AF944" s="112"/>
      <c r="AG944" s="112"/>
      <c r="AH944" s="112"/>
      <c r="AI944" s="112"/>
      <c r="AJ944" s="112"/>
      <c r="AK944" s="112"/>
      <c r="AL944" s="112"/>
      <c r="AM944" s="112"/>
      <c r="AN944" s="112"/>
      <c r="AO944" s="112"/>
      <c r="AP944" s="112"/>
      <c r="AQ944" s="112"/>
      <c r="AR944" s="112"/>
      <c r="AS944" s="112"/>
      <c r="AT944" s="112"/>
    </row>
    <row r="945" ht="15.75" customHeight="1">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c r="AB945" s="112"/>
      <c r="AC945" s="112"/>
      <c r="AD945" s="112"/>
      <c r="AE945" s="112"/>
      <c r="AF945" s="112"/>
      <c r="AG945" s="112"/>
      <c r="AH945" s="112"/>
      <c r="AI945" s="112"/>
      <c r="AJ945" s="112"/>
      <c r="AK945" s="112"/>
      <c r="AL945" s="112"/>
      <c r="AM945" s="112"/>
      <c r="AN945" s="112"/>
      <c r="AO945" s="112"/>
      <c r="AP945" s="112"/>
      <c r="AQ945" s="112"/>
      <c r="AR945" s="112"/>
      <c r="AS945" s="112"/>
      <c r="AT945" s="112"/>
    </row>
    <row r="946" ht="15.75" customHeight="1">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c r="AB946" s="112"/>
      <c r="AC946" s="112"/>
      <c r="AD946" s="112"/>
      <c r="AE946" s="112"/>
      <c r="AF946" s="112"/>
      <c r="AG946" s="112"/>
      <c r="AH946" s="112"/>
      <c r="AI946" s="112"/>
      <c r="AJ946" s="112"/>
      <c r="AK946" s="112"/>
      <c r="AL946" s="112"/>
      <c r="AM946" s="112"/>
      <c r="AN946" s="112"/>
      <c r="AO946" s="112"/>
      <c r="AP946" s="112"/>
      <c r="AQ946" s="112"/>
      <c r="AR946" s="112"/>
      <c r="AS946" s="112"/>
      <c r="AT946" s="112"/>
    </row>
    <row r="947" ht="15.75" customHeight="1">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c r="AB947" s="112"/>
      <c r="AC947" s="112"/>
      <c r="AD947" s="112"/>
      <c r="AE947" s="112"/>
      <c r="AF947" s="112"/>
      <c r="AG947" s="112"/>
      <c r="AH947" s="112"/>
      <c r="AI947" s="112"/>
      <c r="AJ947" s="112"/>
      <c r="AK947" s="112"/>
      <c r="AL947" s="112"/>
      <c r="AM947" s="112"/>
      <c r="AN947" s="112"/>
      <c r="AO947" s="112"/>
      <c r="AP947" s="112"/>
      <c r="AQ947" s="112"/>
      <c r="AR947" s="112"/>
      <c r="AS947" s="112"/>
      <c r="AT947" s="112"/>
    </row>
    <row r="948" ht="15.75" customHeight="1">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c r="AB948" s="112"/>
      <c r="AC948" s="112"/>
      <c r="AD948" s="112"/>
      <c r="AE948" s="112"/>
      <c r="AF948" s="112"/>
      <c r="AG948" s="112"/>
      <c r="AH948" s="112"/>
      <c r="AI948" s="112"/>
      <c r="AJ948" s="112"/>
      <c r="AK948" s="112"/>
      <c r="AL948" s="112"/>
      <c r="AM948" s="112"/>
      <c r="AN948" s="112"/>
      <c r="AO948" s="112"/>
      <c r="AP948" s="112"/>
      <c r="AQ948" s="112"/>
      <c r="AR948" s="112"/>
      <c r="AS948" s="112"/>
      <c r="AT948" s="112"/>
    </row>
    <row r="949" ht="15.75" customHeight="1">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c r="AB949" s="112"/>
      <c r="AC949" s="112"/>
      <c r="AD949" s="112"/>
      <c r="AE949" s="112"/>
      <c r="AF949" s="112"/>
      <c r="AG949" s="112"/>
      <c r="AH949" s="112"/>
      <c r="AI949" s="112"/>
      <c r="AJ949" s="112"/>
      <c r="AK949" s="112"/>
      <c r="AL949" s="112"/>
      <c r="AM949" s="112"/>
      <c r="AN949" s="112"/>
      <c r="AO949" s="112"/>
      <c r="AP949" s="112"/>
      <c r="AQ949" s="112"/>
      <c r="AR949" s="112"/>
      <c r="AS949" s="112"/>
      <c r="AT949" s="112"/>
    </row>
    <row r="950" ht="15.75" customHeight="1">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c r="AB950" s="112"/>
      <c r="AC950" s="112"/>
      <c r="AD950" s="112"/>
      <c r="AE950" s="112"/>
      <c r="AF950" s="112"/>
      <c r="AG950" s="112"/>
      <c r="AH950" s="112"/>
      <c r="AI950" s="112"/>
      <c r="AJ950" s="112"/>
      <c r="AK950" s="112"/>
      <c r="AL950" s="112"/>
      <c r="AM950" s="112"/>
      <c r="AN950" s="112"/>
      <c r="AO950" s="112"/>
      <c r="AP950" s="112"/>
      <c r="AQ950" s="112"/>
      <c r="AR950" s="112"/>
      <c r="AS950" s="112"/>
      <c r="AT950" s="112"/>
    </row>
    <row r="951" ht="15.75" customHeight="1">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c r="AB951" s="112"/>
      <c r="AC951" s="112"/>
      <c r="AD951" s="112"/>
      <c r="AE951" s="112"/>
      <c r="AF951" s="112"/>
      <c r="AG951" s="112"/>
      <c r="AH951" s="112"/>
      <c r="AI951" s="112"/>
      <c r="AJ951" s="112"/>
      <c r="AK951" s="112"/>
      <c r="AL951" s="112"/>
      <c r="AM951" s="112"/>
      <c r="AN951" s="112"/>
      <c r="AO951" s="112"/>
      <c r="AP951" s="112"/>
      <c r="AQ951" s="112"/>
      <c r="AR951" s="112"/>
      <c r="AS951" s="112"/>
      <c r="AT951" s="112"/>
    </row>
    <row r="952" ht="15.75" customHeight="1">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c r="AB952" s="112"/>
      <c r="AC952" s="112"/>
      <c r="AD952" s="112"/>
      <c r="AE952" s="112"/>
      <c r="AF952" s="112"/>
      <c r="AG952" s="112"/>
      <c r="AH952" s="112"/>
      <c r="AI952" s="112"/>
      <c r="AJ952" s="112"/>
      <c r="AK952" s="112"/>
      <c r="AL952" s="112"/>
      <c r="AM952" s="112"/>
      <c r="AN952" s="112"/>
      <c r="AO952" s="112"/>
      <c r="AP952" s="112"/>
      <c r="AQ952" s="112"/>
      <c r="AR952" s="112"/>
      <c r="AS952" s="112"/>
      <c r="AT952" s="112"/>
    </row>
    <row r="953" ht="15.75" customHeight="1">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c r="AB953" s="112"/>
      <c r="AC953" s="112"/>
      <c r="AD953" s="112"/>
      <c r="AE953" s="112"/>
      <c r="AF953" s="112"/>
      <c r="AG953" s="112"/>
      <c r="AH953" s="112"/>
      <c r="AI953" s="112"/>
      <c r="AJ953" s="112"/>
      <c r="AK953" s="112"/>
      <c r="AL953" s="112"/>
      <c r="AM953" s="112"/>
      <c r="AN953" s="112"/>
      <c r="AO953" s="112"/>
      <c r="AP953" s="112"/>
      <c r="AQ953" s="112"/>
      <c r="AR953" s="112"/>
      <c r="AS953" s="112"/>
      <c r="AT953" s="112"/>
    </row>
    <row r="954" ht="15.75" customHeight="1">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c r="AB954" s="112"/>
      <c r="AC954" s="112"/>
      <c r="AD954" s="112"/>
      <c r="AE954" s="112"/>
      <c r="AF954" s="112"/>
      <c r="AG954" s="112"/>
      <c r="AH954" s="112"/>
      <c r="AI954" s="112"/>
      <c r="AJ954" s="112"/>
      <c r="AK954" s="112"/>
      <c r="AL954" s="112"/>
      <c r="AM954" s="112"/>
      <c r="AN954" s="112"/>
      <c r="AO954" s="112"/>
      <c r="AP954" s="112"/>
      <c r="AQ954" s="112"/>
      <c r="AR954" s="112"/>
      <c r="AS954" s="112"/>
      <c r="AT954" s="112"/>
    </row>
    <row r="955" ht="15.75" customHeight="1">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c r="AG955" s="112"/>
      <c r="AH955" s="112"/>
      <c r="AI955" s="112"/>
      <c r="AJ955" s="112"/>
      <c r="AK955" s="112"/>
      <c r="AL955" s="112"/>
      <c r="AM955" s="112"/>
      <c r="AN955" s="112"/>
      <c r="AO955" s="112"/>
      <c r="AP955" s="112"/>
      <c r="AQ955" s="112"/>
      <c r="AR955" s="112"/>
      <c r="AS955" s="112"/>
      <c r="AT955" s="112"/>
    </row>
    <row r="956" ht="15.75" customHeight="1">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c r="AH956" s="112"/>
      <c r="AI956" s="112"/>
      <c r="AJ956" s="112"/>
      <c r="AK956" s="112"/>
      <c r="AL956" s="112"/>
      <c r="AM956" s="112"/>
      <c r="AN956" s="112"/>
      <c r="AO956" s="112"/>
      <c r="AP956" s="112"/>
      <c r="AQ956" s="112"/>
      <c r="AR956" s="112"/>
      <c r="AS956" s="112"/>
      <c r="AT956" s="112"/>
    </row>
    <row r="957" ht="15.75" customHeight="1">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c r="AG957" s="112"/>
      <c r="AH957" s="112"/>
      <c r="AI957" s="112"/>
      <c r="AJ957" s="112"/>
      <c r="AK957" s="112"/>
      <c r="AL957" s="112"/>
      <c r="AM957" s="112"/>
      <c r="AN957" s="112"/>
      <c r="AO957" s="112"/>
      <c r="AP957" s="112"/>
      <c r="AQ957" s="112"/>
      <c r="AR957" s="112"/>
      <c r="AS957" s="112"/>
      <c r="AT957" s="112"/>
    </row>
    <row r="958" ht="15.75" customHeight="1">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c r="AG958" s="112"/>
      <c r="AH958" s="112"/>
      <c r="AI958" s="112"/>
      <c r="AJ958" s="112"/>
      <c r="AK958" s="112"/>
      <c r="AL958" s="112"/>
      <c r="AM958" s="112"/>
      <c r="AN958" s="112"/>
      <c r="AO958" s="112"/>
      <c r="AP958" s="112"/>
      <c r="AQ958" s="112"/>
      <c r="AR958" s="112"/>
      <c r="AS958" s="112"/>
      <c r="AT958" s="112"/>
    </row>
    <row r="959" ht="15.75" customHeight="1">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c r="AG959" s="112"/>
      <c r="AH959" s="112"/>
      <c r="AI959" s="112"/>
      <c r="AJ959" s="112"/>
      <c r="AK959" s="112"/>
      <c r="AL959" s="112"/>
      <c r="AM959" s="112"/>
      <c r="AN959" s="112"/>
      <c r="AO959" s="112"/>
      <c r="AP959" s="112"/>
      <c r="AQ959" s="112"/>
      <c r="AR959" s="112"/>
      <c r="AS959" s="112"/>
      <c r="AT959" s="112"/>
    </row>
    <row r="960" ht="15.75" customHeight="1">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c r="AB960" s="112"/>
      <c r="AC960" s="112"/>
      <c r="AD960" s="112"/>
      <c r="AE960" s="112"/>
      <c r="AF960" s="112"/>
      <c r="AG960" s="112"/>
      <c r="AH960" s="112"/>
      <c r="AI960" s="112"/>
      <c r="AJ960" s="112"/>
      <c r="AK960" s="112"/>
      <c r="AL960" s="112"/>
      <c r="AM960" s="112"/>
      <c r="AN960" s="112"/>
      <c r="AO960" s="112"/>
      <c r="AP960" s="112"/>
      <c r="AQ960" s="112"/>
      <c r="AR960" s="112"/>
      <c r="AS960" s="112"/>
      <c r="AT960" s="112"/>
    </row>
    <row r="961" ht="15.75" customHeight="1">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c r="AG961" s="112"/>
      <c r="AH961" s="112"/>
      <c r="AI961" s="112"/>
      <c r="AJ961" s="112"/>
      <c r="AK961" s="112"/>
      <c r="AL961" s="112"/>
      <c r="AM961" s="112"/>
      <c r="AN961" s="112"/>
      <c r="AO961" s="112"/>
      <c r="AP961" s="112"/>
      <c r="AQ961" s="112"/>
      <c r="AR961" s="112"/>
      <c r="AS961" s="112"/>
      <c r="AT961" s="112"/>
    </row>
    <row r="962" ht="15.75" customHeight="1">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c r="AG962" s="112"/>
      <c r="AH962" s="112"/>
      <c r="AI962" s="112"/>
      <c r="AJ962" s="112"/>
      <c r="AK962" s="112"/>
      <c r="AL962" s="112"/>
      <c r="AM962" s="112"/>
      <c r="AN962" s="112"/>
      <c r="AO962" s="112"/>
      <c r="AP962" s="112"/>
      <c r="AQ962" s="112"/>
      <c r="AR962" s="112"/>
      <c r="AS962" s="112"/>
      <c r="AT962" s="112"/>
    </row>
    <row r="963" ht="15.75" customHeight="1">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c r="AG963" s="112"/>
      <c r="AH963" s="112"/>
      <c r="AI963" s="112"/>
      <c r="AJ963" s="112"/>
      <c r="AK963" s="112"/>
      <c r="AL963" s="112"/>
      <c r="AM963" s="112"/>
      <c r="AN963" s="112"/>
      <c r="AO963" s="112"/>
      <c r="AP963" s="112"/>
      <c r="AQ963" s="112"/>
      <c r="AR963" s="112"/>
      <c r="AS963" s="112"/>
      <c r="AT963" s="112"/>
    </row>
    <row r="964" ht="15.75" customHeight="1">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c r="AH964" s="112"/>
      <c r="AI964" s="112"/>
      <c r="AJ964" s="112"/>
      <c r="AK964" s="112"/>
      <c r="AL964" s="112"/>
      <c r="AM964" s="112"/>
      <c r="AN964" s="112"/>
      <c r="AO964" s="112"/>
      <c r="AP964" s="112"/>
      <c r="AQ964" s="112"/>
      <c r="AR964" s="112"/>
      <c r="AS964" s="112"/>
      <c r="AT964" s="112"/>
    </row>
    <row r="965" ht="15.75" customHeight="1">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c r="AG965" s="112"/>
      <c r="AH965" s="112"/>
      <c r="AI965" s="112"/>
      <c r="AJ965" s="112"/>
      <c r="AK965" s="112"/>
      <c r="AL965" s="112"/>
      <c r="AM965" s="112"/>
      <c r="AN965" s="112"/>
      <c r="AO965" s="112"/>
      <c r="AP965" s="112"/>
      <c r="AQ965" s="112"/>
      <c r="AR965" s="112"/>
      <c r="AS965" s="112"/>
      <c r="AT965" s="112"/>
    </row>
    <row r="966" ht="15.75" customHeight="1">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c r="AB966" s="112"/>
      <c r="AC966" s="112"/>
      <c r="AD966" s="112"/>
      <c r="AE966" s="112"/>
      <c r="AF966" s="112"/>
      <c r="AG966" s="112"/>
      <c r="AH966" s="112"/>
      <c r="AI966" s="112"/>
      <c r="AJ966" s="112"/>
      <c r="AK966" s="112"/>
      <c r="AL966" s="112"/>
      <c r="AM966" s="112"/>
      <c r="AN966" s="112"/>
      <c r="AO966" s="112"/>
      <c r="AP966" s="112"/>
      <c r="AQ966" s="112"/>
      <c r="AR966" s="112"/>
      <c r="AS966" s="112"/>
      <c r="AT966" s="112"/>
    </row>
    <row r="967" ht="15.75" customHeight="1">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c r="AG967" s="112"/>
      <c r="AH967" s="112"/>
      <c r="AI967" s="112"/>
      <c r="AJ967" s="112"/>
      <c r="AK967" s="112"/>
      <c r="AL967" s="112"/>
      <c r="AM967" s="112"/>
      <c r="AN967" s="112"/>
      <c r="AO967" s="112"/>
      <c r="AP967" s="112"/>
      <c r="AQ967" s="112"/>
      <c r="AR967" s="112"/>
      <c r="AS967" s="112"/>
      <c r="AT967" s="112"/>
    </row>
    <row r="968" ht="15.75" customHeight="1">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c r="AG968" s="112"/>
      <c r="AH968" s="112"/>
      <c r="AI968" s="112"/>
      <c r="AJ968" s="112"/>
      <c r="AK968" s="112"/>
      <c r="AL968" s="112"/>
      <c r="AM968" s="112"/>
      <c r="AN968" s="112"/>
      <c r="AO968" s="112"/>
      <c r="AP968" s="112"/>
      <c r="AQ968" s="112"/>
      <c r="AR968" s="112"/>
      <c r="AS968" s="112"/>
      <c r="AT968" s="112"/>
    </row>
    <row r="969" ht="15.75" customHeight="1">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c r="AH969" s="112"/>
      <c r="AI969" s="112"/>
      <c r="AJ969" s="112"/>
      <c r="AK969" s="112"/>
      <c r="AL969" s="112"/>
      <c r="AM969" s="112"/>
      <c r="AN969" s="112"/>
      <c r="AO969" s="112"/>
      <c r="AP969" s="112"/>
      <c r="AQ969" s="112"/>
      <c r="AR969" s="112"/>
      <c r="AS969" s="112"/>
      <c r="AT969" s="112"/>
    </row>
    <row r="970" ht="15.75" customHeight="1">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c r="AH970" s="112"/>
      <c r="AI970" s="112"/>
      <c r="AJ970" s="112"/>
      <c r="AK970" s="112"/>
      <c r="AL970" s="112"/>
      <c r="AM970" s="112"/>
      <c r="AN970" s="112"/>
      <c r="AO970" s="112"/>
      <c r="AP970" s="112"/>
      <c r="AQ970" s="112"/>
      <c r="AR970" s="112"/>
      <c r="AS970" s="112"/>
      <c r="AT970" s="112"/>
    </row>
    <row r="971" ht="15.75" customHeight="1">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c r="AH971" s="112"/>
      <c r="AI971" s="112"/>
      <c r="AJ971" s="112"/>
      <c r="AK971" s="112"/>
      <c r="AL971" s="112"/>
      <c r="AM971" s="112"/>
      <c r="AN971" s="112"/>
      <c r="AO971" s="112"/>
      <c r="AP971" s="112"/>
      <c r="AQ971" s="112"/>
      <c r="AR971" s="112"/>
      <c r="AS971" s="112"/>
      <c r="AT971" s="112"/>
    </row>
    <row r="972" ht="15.75" customHeight="1">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c r="AH972" s="112"/>
      <c r="AI972" s="112"/>
      <c r="AJ972" s="112"/>
      <c r="AK972" s="112"/>
      <c r="AL972" s="112"/>
      <c r="AM972" s="112"/>
      <c r="AN972" s="112"/>
      <c r="AO972" s="112"/>
      <c r="AP972" s="112"/>
      <c r="AQ972" s="112"/>
      <c r="AR972" s="112"/>
      <c r="AS972" s="112"/>
      <c r="AT972" s="112"/>
    </row>
    <row r="973" ht="15.75" customHeight="1">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c r="AH973" s="112"/>
      <c r="AI973" s="112"/>
      <c r="AJ973" s="112"/>
      <c r="AK973" s="112"/>
      <c r="AL973" s="112"/>
      <c r="AM973" s="112"/>
      <c r="AN973" s="112"/>
      <c r="AO973" s="112"/>
      <c r="AP973" s="112"/>
      <c r="AQ973" s="112"/>
      <c r="AR973" s="112"/>
      <c r="AS973" s="112"/>
      <c r="AT973" s="112"/>
    </row>
    <row r="974" ht="15.75" customHeight="1">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c r="AB974" s="112"/>
      <c r="AC974" s="112"/>
      <c r="AD974" s="112"/>
      <c r="AE974" s="112"/>
      <c r="AF974" s="112"/>
      <c r="AG974" s="112"/>
      <c r="AH974" s="112"/>
      <c r="AI974" s="112"/>
      <c r="AJ974" s="112"/>
      <c r="AK974" s="112"/>
      <c r="AL974" s="112"/>
      <c r="AM974" s="112"/>
      <c r="AN974" s="112"/>
      <c r="AO974" s="112"/>
      <c r="AP974" s="112"/>
      <c r="AQ974" s="112"/>
      <c r="AR974" s="112"/>
      <c r="AS974" s="112"/>
      <c r="AT974" s="112"/>
    </row>
    <row r="975" ht="15.75" customHeight="1">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c r="AB975" s="112"/>
      <c r="AC975" s="112"/>
      <c r="AD975" s="112"/>
      <c r="AE975" s="112"/>
      <c r="AF975" s="112"/>
      <c r="AG975" s="112"/>
      <c r="AH975" s="112"/>
      <c r="AI975" s="112"/>
      <c r="AJ975" s="112"/>
      <c r="AK975" s="112"/>
      <c r="AL975" s="112"/>
      <c r="AM975" s="112"/>
      <c r="AN975" s="112"/>
      <c r="AO975" s="112"/>
      <c r="AP975" s="112"/>
      <c r="AQ975" s="112"/>
      <c r="AR975" s="112"/>
      <c r="AS975" s="112"/>
      <c r="AT975" s="112"/>
    </row>
    <row r="976" ht="15.75" customHeight="1">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c r="AG976" s="112"/>
      <c r="AH976" s="112"/>
      <c r="AI976" s="112"/>
      <c r="AJ976" s="112"/>
      <c r="AK976" s="112"/>
      <c r="AL976" s="112"/>
      <c r="AM976" s="112"/>
      <c r="AN976" s="112"/>
      <c r="AO976" s="112"/>
      <c r="AP976" s="112"/>
      <c r="AQ976" s="112"/>
      <c r="AR976" s="112"/>
      <c r="AS976" s="112"/>
      <c r="AT976" s="112"/>
    </row>
    <row r="977" ht="15.75" customHeight="1">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c r="AG977" s="112"/>
      <c r="AH977" s="112"/>
      <c r="AI977" s="112"/>
      <c r="AJ977" s="112"/>
      <c r="AK977" s="112"/>
      <c r="AL977" s="112"/>
      <c r="AM977" s="112"/>
      <c r="AN977" s="112"/>
      <c r="AO977" s="112"/>
      <c r="AP977" s="112"/>
      <c r="AQ977" s="112"/>
      <c r="AR977" s="112"/>
      <c r="AS977" s="112"/>
      <c r="AT977" s="112"/>
    </row>
    <row r="978" ht="15.75" customHeight="1">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c r="AG978" s="112"/>
      <c r="AH978" s="112"/>
      <c r="AI978" s="112"/>
      <c r="AJ978" s="112"/>
      <c r="AK978" s="112"/>
      <c r="AL978" s="112"/>
      <c r="AM978" s="112"/>
      <c r="AN978" s="112"/>
      <c r="AO978" s="112"/>
      <c r="AP978" s="112"/>
      <c r="AQ978" s="112"/>
      <c r="AR978" s="112"/>
      <c r="AS978" s="112"/>
      <c r="AT978" s="112"/>
    </row>
    <row r="979" ht="15.75" customHeight="1">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c r="AG979" s="112"/>
      <c r="AH979" s="112"/>
      <c r="AI979" s="112"/>
      <c r="AJ979" s="112"/>
      <c r="AK979" s="112"/>
      <c r="AL979" s="112"/>
      <c r="AM979" s="112"/>
      <c r="AN979" s="112"/>
      <c r="AO979" s="112"/>
      <c r="AP979" s="112"/>
      <c r="AQ979" s="112"/>
      <c r="AR979" s="112"/>
      <c r="AS979" s="112"/>
      <c r="AT979" s="112"/>
    </row>
    <row r="980" ht="15.75" customHeight="1">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c r="AH980" s="112"/>
      <c r="AI980" s="112"/>
      <c r="AJ980" s="112"/>
      <c r="AK980" s="112"/>
      <c r="AL980" s="112"/>
      <c r="AM980" s="112"/>
      <c r="AN980" s="112"/>
      <c r="AO980" s="112"/>
      <c r="AP980" s="112"/>
      <c r="AQ980" s="112"/>
      <c r="AR980" s="112"/>
      <c r="AS980" s="112"/>
      <c r="AT980" s="112"/>
    </row>
    <row r="981" ht="15.75" customHeight="1">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c r="AB981" s="112"/>
      <c r="AC981" s="112"/>
      <c r="AD981" s="112"/>
      <c r="AE981" s="112"/>
      <c r="AF981" s="112"/>
      <c r="AG981" s="112"/>
      <c r="AH981" s="112"/>
      <c r="AI981" s="112"/>
      <c r="AJ981" s="112"/>
      <c r="AK981" s="112"/>
      <c r="AL981" s="112"/>
      <c r="AM981" s="112"/>
      <c r="AN981" s="112"/>
      <c r="AO981" s="112"/>
      <c r="AP981" s="112"/>
      <c r="AQ981" s="112"/>
      <c r="AR981" s="112"/>
      <c r="AS981" s="112"/>
      <c r="AT981" s="112"/>
    </row>
    <row r="982" ht="15.75" customHeight="1">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c r="AG982" s="112"/>
      <c r="AH982" s="112"/>
      <c r="AI982" s="112"/>
      <c r="AJ982" s="112"/>
      <c r="AK982" s="112"/>
      <c r="AL982" s="112"/>
      <c r="AM982" s="112"/>
      <c r="AN982" s="112"/>
      <c r="AO982" s="112"/>
      <c r="AP982" s="112"/>
      <c r="AQ982" s="112"/>
      <c r="AR982" s="112"/>
      <c r="AS982" s="112"/>
      <c r="AT982" s="112"/>
    </row>
    <row r="983" ht="15.75" customHeight="1">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c r="AG983" s="112"/>
      <c r="AH983" s="112"/>
      <c r="AI983" s="112"/>
      <c r="AJ983" s="112"/>
      <c r="AK983" s="112"/>
      <c r="AL983" s="112"/>
      <c r="AM983" s="112"/>
      <c r="AN983" s="112"/>
      <c r="AO983" s="112"/>
      <c r="AP983" s="112"/>
      <c r="AQ983" s="112"/>
      <c r="AR983" s="112"/>
      <c r="AS983" s="112"/>
      <c r="AT983" s="112"/>
    </row>
    <row r="984" ht="15.75" customHeight="1">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c r="AG984" s="112"/>
      <c r="AH984" s="112"/>
      <c r="AI984" s="112"/>
      <c r="AJ984" s="112"/>
      <c r="AK984" s="112"/>
      <c r="AL984" s="112"/>
      <c r="AM984" s="112"/>
      <c r="AN984" s="112"/>
      <c r="AO984" s="112"/>
      <c r="AP984" s="112"/>
      <c r="AQ984" s="112"/>
      <c r="AR984" s="112"/>
      <c r="AS984" s="112"/>
      <c r="AT984" s="112"/>
    </row>
    <row r="985" ht="15.75" customHeight="1">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c r="AG985" s="112"/>
      <c r="AH985" s="112"/>
      <c r="AI985" s="112"/>
      <c r="AJ985" s="112"/>
      <c r="AK985" s="112"/>
      <c r="AL985" s="112"/>
      <c r="AM985" s="112"/>
      <c r="AN985" s="112"/>
      <c r="AO985" s="112"/>
      <c r="AP985" s="112"/>
      <c r="AQ985" s="112"/>
      <c r="AR985" s="112"/>
      <c r="AS985" s="112"/>
      <c r="AT985" s="112"/>
    </row>
    <row r="986" ht="15.75" customHeight="1">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c r="AG986" s="112"/>
      <c r="AH986" s="112"/>
      <c r="AI986" s="112"/>
      <c r="AJ986" s="112"/>
      <c r="AK986" s="112"/>
      <c r="AL986" s="112"/>
      <c r="AM986" s="112"/>
      <c r="AN986" s="112"/>
      <c r="AO986" s="112"/>
      <c r="AP986" s="112"/>
      <c r="AQ986" s="112"/>
      <c r="AR986" s="112"/>
      <c r="AS986" s="112"/>
      <c r="AT986" s="112"/>
    </row>
    <row r="987" ht="15.75" customHeight="1">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c r="AB987" s="112"/>
      <c r="AC987" s="112"/>
      <c r="AD987" s="112"/>
      <c r="AE987" s="112"/>
      <c r="AF987" s="112"/>
      <c r="AG987" s="112"/>
      <c r="AH987" s="112"/>
      <c r="AI987" s="112"/>
      <c r="AJ987" s="112"/>
      <c r="AK987" s="112"/>
      <c r="AL987" s="112"/>
      <c r="AM987" s="112"/>
      <c r="AN987" s="112"/>
      <c r="AO987" s="112"/>
      <c r="AP987" s="112"/>
      <c r="AQ987" s="112"/>
      <c r="AR987" s="112"/>
      <c r="AS987" s="112"/>
      <c r="AT987" s="112"/>
    </row>
    <row r="988" ht="15.75" customHeight="1">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c r="AG988" s="112"/>
      <c r="AH988" s="112"/>
      <c r="AI988" s="112"/>
      <c r="AJ988" s="112"/>
      <c r="AK988" s="112"/>
      <c r="AL988" s="112"/>
      <c r="AM988" s="112"/>
      <c r="AN988" s="112"/>
      <c r="AO988" s="112"/>
      <c r="AP988" s="112"/>
      <c r="AQ988" s="112"/>
      <c r="AR988" s="112"/>
      <c r="AS988" s="112"/>
      <c r="AT988" s="112"/>
    </row>
    <row r="989" ht="15.75" customHeight="1">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c r="AB989" s="112"/>
      <c r="AC989" s="112"/>
      <c r="AD989" s="112"/>
      <c r="AE989" s="112"/>
      <c r="AF989" s="112"/>
      <c r="AG989" s="112"/>
      <c r="AH989" s="112"/>
      <c r="AI989" s="112"/>
      <c r="AJ989" s="112"/>
      <c r="AK989" s="112"/>
      <c r="AL989" s="112"/>
      <c r="AM989" s="112"/>
      <c r="AN989" s="112"/>
      <c r="AO989" s="112"/>
      <c r="AP989" s="112"/>
      <c r="AQ989" s="112"/>
      <c r="AR989" s="112"/>
      <c r="AS989" s="112"/>
      <c r="AT989" s="112"/>
    </row>
  </sheetData>
  <mergeCells count="7">
    <mergeCell ref="C4:F4"/>
    <mergeCell ref="G4:N4"/>
    <mergeCell ref="O4:V4"/>
    <mergeCell ref="W4:AD4"/>
    <mergeCell ref="AE4:AL4"/>
    <mergeCell ref="AM4:AT4"/>
    <mergeCell ref="B28:C28"/>
  </mergeCells>
  <dataValidations>
    <dataValidation type="list" allowBlank="1" showErrorMessage="1" sqref="AF13 AX13 BP13">
      <formula1>"Revenue ($ m),GM ($ m),EBITDA ($ m),Opr. Metric 1,Opr. Metric 2"</formula1>
    </dataValidation>
    <dataValidation type="list" allowBlank="1" showErrorMessage="1" sqref="H13">
      <formula1>"-,Arpit,Ashish,Karthik,Sajith,Sanjay,Vikram"</formula1>
    </dataValidation>
    <dataValidation type="list" allowBlank="1" showErrorMessage="1" sqref="G13">
      <formula1>"Y,N,Y-New"</formula1>
    </dataValidation>
    <dataValidation type="list" allowBlank="1" showErrorMessage="1" sqref="AD13 AV13 BN13">
      <formula1>"Y,N"</formula1>
    </dataValidation>
    <dataValidation type="list" allowBlank="1" showErrorMessage="1" sqref="I13">
      <formula1>"-,#N/A,Adithya,Akhilesh,Akshat,Anurag,Apurva,Aria,Dhagash,Jatin,Joseph,Marmik,Mudit,Sajith,Sumangal,Udayan,Venkatesh"</formula1>
    </dataValidation>
    <dataValidation type="list" allowBlank="1" showErrorMessage="1" sqref="AE13 AW13 BO13">
      <formula1>"FY - Q1,FY - Q2,FY - Q3,FY - Q4"</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56"/>
    <col customWidth="1" min="2" max="2" width="21.67"/>
    <col customWidth="1" min="3" max="3" width="61.0"/>
    <col customWidth="1" min="4" max="4" width="24.33"/>
    <col customWidth="1" min="5" max="5" width="21.11"/>
    <col customWidth="1" min="6" max="26" width="10.56"/>
  </cols>
  <sheetData>
    <row r="1" ht="15.75" customHeight="1"/>
    <row r="2" ht="15.75" customHeight="1">
      <c r="B2" s="1" t="s">
        <v>934</v>
      </c>
      <c r="C2" s="1"/>
    </row>
    <row r="3" ht="15.75" customHeight="1"/>
    <row r="4" ht="15.75" customHeight="1">
      <c r="B4" s="53" t="s">
        <v>935</v>
      </c>
      <c r="C4" s="53" t="s">
        <v>936</v>
      </c>
      <c r="D4" s="53" t="s">
        <v>937</v>
      </c>
      <c r="E4" s="53" t="s">
        <v>938</v>
      </c>
      <c r="F4" s="222"/>
    </row>
    <row r="5" ht="15.75" customHeight="1">
      <c r="B5" s="55" t="s">
        <v>939</v>
      </c>
      <c r="C5" s="223" t="s">
        <v>940</v>
      </c>
      <c r="D5" s="223" t="s">
        <v>941</v>
      </c>
      <c r="E5" s="223" t="s">
        <v>942</v>
      </c>
    </row>
    <row r="6" ht="15.75" customHeight="1">
      <c r="B6" s="55" t="s">
        <v>943</v>
      </c>
      <c r="C6" s="223" t="s">
        <v>944</v>
      </c>
      <c r="D6" s="223" t="s">
        <v>945</v>
      </c>
      <c r="E6" s="223" t="s">
        <v>942</v>
      </c>
    </row>
    <row r="7" ht="15.75" hidden="1" customHeight="1">
      <c r="B7" s="55" t="s">
        <v>946</v>
      </c>
      <c r="C7" s="223" t="s">
        <v>947</v>
      </c>
      <c r="D7" s="223" t="s">
        <v>945</v>
      </c>
      <c r="E7" s="223" t="s">
        <v>942</v>
      </c>
    </row>
    <row r="8" ht="15.75" customHeight="1">
      <c r="B8" s="223" t="s">
        <v>948</v>
      </c>
      <c r="C8" s="223" t="s">
        <v>949</v>
      </c>
      <c r="D8" s="223" t="s">
        <v>950</v>
      </c>
      <c r="E8" s="223" t="s">
        <v>942</v>
      </c>
    </row>
    <row r="9" ht="15.75" customHeight="1">
      <c r="B9" s="224" t="s">
        <v>951</v>
      </c>
      <c r="C9" s="224"/>
      <c r="D9" s="224" t="s">
        <v>952</v>
      </c>
      <c r="E9" s="225" t="s">
        <v>902</v>
      </c>
    </row>
    <row r="10" ht="15.75" customHeight="1">
      <c r="B10" s="55" t="s">
        <v>953</v>
      </c>
      <c r="C10" s="55"/>
      <c r="D10" s="55" t="s">
        <v>954</v>
      </c>
      <c r="E10" s="223" t="s">
        <v>942</v>
      </c>
    </row>
    <row r="11" ht="15.75" customHeight="1">
      <c r="B11" s="224" t="s">
        <v>955</v>
      </c>
      <c r="C11" s="224" t="s">
        <v>956</v>
      </c>
      <c r="D11" s="224" t="s">
        <v>957</v>
      </c>
      <c r="E11" s="225" t="s">
        <v>958</v>
      </c>
    </row>
    <row r="12" ht="15.75" customHeight="1"/>
    <row r="13" ht="15.75" customHeight="1">
      <c r="B13" s="111"/>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226" t="s">
        <v>93</v>
      </c>
    </row>
    <row r="2" ht="15.75" customHeight="1"/>
    <row r="3" ht="15.75" customHeight="1">
      <c r="A3" s="4" t="s">
        <v>959</v>
      </c>
    </row>
    <row r="4" ht="15.75" customHeight="1"/>
    <row r="5" ht="15.75" customHeight="1">
      <c r="A5" s="226"/>
    </row>
    <row r="6" ht="15.75" customHeight="1"/>
    <row r="7" ht="15.75" customHeight="1">
      <c r="A7" s="4"/>
    </row>
    <row r="8" ht="15.75" customHeight="1"/>
    <row r="9" ht="15.75" customHeight="1">
      <c r="A9" s="226"/>
    </row>
    <row r="10" ht="15.75" customHeight="1"/>
    <row r="11" ht="15.75" customHeight="1">
      <c r="A11" s="227"/>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2024-10-08T10:23:29Z</dcterms:created>
  <dc:creator>Akshat Praneet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0x010100EA2E51135A52BE45B1BACBA39AC99DD6</vt:lpwstr>
  </property>
  <property fmtid="{D5CDD505-2E9C-101B-9397-08002B2CF9AE}" pid="3" name="MediaServiceImageTags">
    <vt:lpwstr/>
  </property>
  <property fmtid="{D5CDD505-2E9C-101B-9397-08002B2CF9AE}" pid="4" name="Order">
    <vt:r8>2300.0</vt:r8>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_ExtendedDescription">
    <vt:lpwstr/>
  </property>
</Properties>
</file>