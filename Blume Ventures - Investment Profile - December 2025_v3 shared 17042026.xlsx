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lok\Desktop\To save\"/>
    </mc:Choice>
  </mc:AlternateContent>
  <xr:revisionPtr revIDLastSave="0" documentId="13_ncr:1_{99212C7C-490B-4E4F-90D4-D63CD75D8386}" xr6:coauthVersionLast="47" xr6:coauthVersionMax="47" xr10:uidLastSave="{00000000-0000-0000-0000-000000000000}"/>
  <bookViews>
    <workbookView xWindow="-110" yWindow="-110" windowWidth="19420" windowHeight="11500" firstSheet="4" activeTab="10" xr2:uid="{00000000-000D-0000-FFFF-FFFF00000000}"/>
  </bookViews>
  <sheets>
    <sheet name="Index" sheetId="8" r:id="rId1"/>
    <sheet name="Fund I" sheetId="10" r:id="rId2"/>
    <sheet name="Fund IA" sheetId="9" r:id="rId3"/>
    <sheet name="Fund II" sheetId="1" r:id="rId4"/>
    <sheet name="Fund III" sheetId="5" r:id="rId5"/>
    <sheet name="Fund IV" sheetId="3" r:id="rId6"/>
    <sheet name="Fund V" sheetId="13" r:id="rId7"/>
    <sheet name="Fund IIA" sheetId="7" r:id="rId8"/>
    <sheet name="Fund IIB" sheetId="6" r:id="rId9"/>
    <sheet name="Fund 1X" sheetId="4" r:id="rId10"/>
    <sheet name="Fund 1Y" sheetId="2" r:id="rId11"/>
  </sheets>
  <definedNames>
    <definedName name="_xlnm._FilterDatabase" localSheetId="1" hidden="1">'Fund I'!$B$2:$AF$83</definedName>
    <definedName name="_xlnm._FilterDatabase" localSheetId="2" hidden="1">'Fund IA'!$B$2:$AF$24</definedName>
    <definedName name="_xlnm._FilterDatabase" localSheetId="3" hidden="1">'Fund II'!$B$2:$AF$54</definedName>
    <definedName name="_xlnm._FilterDatabase" localSheetId="4" hidden="1">'Fund III'!$B$3:$AF$33</definedName>
    <definedName name="_xlnm._FilterDatabase" localSheetId="5" hidden="1">'Fund IV'!$B$3:$AF$47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2" i="2" l="1"/>
  <c r="J12" i="2"/>
  <c r="K11" i="2"/>
  <c r="L10" i="2"/>
  <c r="K10" i="2"/>
  <c r="K9" i="2"/>
  <c r="L9" i="2"/>
  <c r="J9" i="2"/>
  <c r="K8" i="2"/>
  <c r="L8" i="2"/>
  <c r="J8" i="2"/>
  <c r="L7" i="2"/>
  <c r="K7" i="2"/>
  <c r="J7" i="2"/>
  <c r="J6" i="2"/>
  <c r="L4" i="2"/>
  <c r="K4" i="2"/>
  <c r="Q9" i="4"/>
  <c r="Q8" i="4"/>
  <c r="Q6" i="4"/>
  <c r="Q5" i="4"/>
  <c r="K9" i="4"/>
  <c r="K8" i="4"/>
  <c r="K5" i="4"/>
  <c r="K4" i="4"/>
  <c r="K10" i="6"/>
  <c r="K9" i="6"/>
  <c r="J9" i="6"/>
  <c r="L7" i="6"/>
  <c r="K7" i="6"/>
  <c r="J7" i="6"/>
  <c r="L6" i="6"/>
  <c r="K6" i="6"/>
  <c r="L5" i="6"/>
  <c r="K5" i="6"/>
  <c r="L9" i="7"/>
  <c r="L10" i="7"/>
  <c r="J5" i="6"/>
  <c r="Q15" i="7" l="1"/>
  <c r="Q13" i="7"/>
  <c r="Q12" i="7"/>
  <c r="K15" i="7"/>
  <c r="K10" i="7"/>
  <c r="K9" i="7"/>
  <c r="L7" i="7"/>
  <c r="Q5" i="13" l="1"/>
  <c r="Q6" i="13"/>
  <c r="Q7" i="13"/>
  <c r="Q8" i="13"/>
  <c r="Q9" i="13"/>
  <c r="Q10" i="13"/>
  <c r="Q11" i="13"/>
  <c r="Q12" i="13"/>
  <c r="Q13" i="13"/>
  <c r="L5" i="13"/>
  <c r="L6" i="13"/>
  <c r="L7" i="13"/>
  <c r="L8" i="13"/>
  <c r="L9" i="13"/>
  <c r="L10" i="13"/>
  <c r="L11" i="13"/>
  <c r="L12" i="13"/>
  <c r="L4" i="13"/>
  <c r="L32" i="3" l="1"/>
  <c r="L31" i="3"/>
  <c r="L30" i="3"/>
  <c r="L29" i="3"/>
  <c r="N16" i="3"/>
  <c r="L9" i="3"/>
  <c r="L7" i="3"/>
  <c r="L24" i="5" l="1"/>
  <c r="L19" i="5"/>
  <c r="L16" i="5"/>
  <c r="L12" i="5"/>
  <c r="L5" i="5"/>
  <c r="L4" i="5" l="1"/>
  <c r="O11" i="2" l="1"/>
  <c r="O10" i="2"/>
  <c r="O4" i="2"/>
  <c r="O9" i="4"/>
  <c r="O5" i="4"/>
  <c r="O7" i="6"/>
  <c r="O5" i="6"/>
  <c r="O10" i="7"/>
  <c r="O8" i="7" l="1"/>
  <c r="L8" i="7"/>
  <c r="B14" i="2" l="1"/>
  <c r="N14" i="1" l="1"/>
  <c r="L4" i="1"/>
  <c r="L28" i="3" l="1"/>
  <c r="L17" i="3"/>
  <c r="T13" i="1" l="1"/>
  <c r="U14" i="13"/>
  <c r="P14" i="13"/>
  <c r="T13" i="13"/>
  <c r="W13" i="13" s="1"/>
  <c r="T12" i="13"/>
  <c r="W12" i="13" s="1"/>
  <c r="N12" i="13"/>
  <c r="T11" i="13"/>
  <c r="W11" i="13" s="1"/>
  <c r="N11" i="13"/>
  <c r="T10" i="13"/>
  <c r="W10" i="13" s="1"/>
  <c r="N10" i="13"/>
  <c r="T9" i="13"/>
  <c r="W9" i="13" s="1"/>
  <c r="N9" i="13"/>
  <c r="T8" i="13"/>
  <c r="W8" i="13" s="1"/>
  <c r="N8" i="13"/>
  <c r="T7" i="13"/>
  <c r="W7" i="13" s="1"/>
  <c r="N7" i="13"/>
  <c r="T6" i="13"/>
  <c r="W6" i="13" s="1"/>
  <c r="T5" i="13"/>
  <c r="W5" i="13" s="1"/>
  <c r="B5" i="13"/>
  <c r="B6" i="13" s="1"/>
  <c r="B7" i="13" s="1"/>
  <c r="B8" i="13" s="1"/>
  <c r="B9" i="13" s="1"/>
  <c r="B10" i="13" s="1"/>
  <c r="B11" i="13" s="1"/>
  <c r="B12" i="13" s="1"/>
  <c r="B13" i="13" s="1"/>
  <c r="T4" i="13"/>
  <c r="W4" i="13" s="1"/>
  <c r="Q4" i="13"/>
  <c r="N4" i="13"/>
  <c r="Q14" i="13" l="1"/>
  <c r="T14" i="13"/>
  <c r="W14" i="13" s="1"/>
  <c r="L6" i="7" l="1"/>
  <c r="N15" i="5" l="1"/>
  <c r="L22" i="5"/>
  <c r="U54" i="1" l="1"/>
  <c r="L11" i="2" l="1"/>
  <c r="Q29" i="3" l="1"/>
  <c r="Q45" i="3"/>
  <c r="Q46" i="3"/>
  <c r="Q5" i="3"/>
  <c r="Q6" i="3"/>
  <c r="Q7" i="3"/>
  <c r="Q8" i="3"/>
  <c r="Q9" i="3"/>
  <c r="Q10" i="3"/>
  <c r="Q11" i="3"/>
  <c r="Q12" i="3"/>
  <c r="Q13" i="3"/>
  <c r="Q14" i="3"/>
  <c r="Q15" i="3"/>
  <c r="Q16" i="3"/>
  <c r="Q17" i="3"/>
  <c r="Q18" i="3"/>
  <c r="Q19" i="3"/>
  <c r="Q20" i="3"/>
  <c r="Q21" i="3"/>
  <c r="Q22" i="3"/>
  <c r="Q23" i="3"/>
  <c r="Q24" i="3"/>
  <c r="Q25" i="3"/>
  <c r="Q26" i="3"/>
  <c r="Q27" i="3"/>
  <c r="Q28" i="3"/>
  <c r="Q30" i="3"/>
  <c r="Q32" i="3"/>
  <c r="Q33" i="3"/>
  <c r="Q34" i="3"/>
  <c r="Q35" i="3"/>
  <c r="Q36" i="3"/>
  <c r="Q37" i="3"/>
  <c r="Q38" i="3"/>
  <c r="Q39" i="3"/>
  <c r="Q40" i="3"/>
  <c r="Q41" i="3"/>
  <c r="Q42" i="3"/>
  <c r="Q43" i="3"/>
  <c r="Q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 i="3"/>
  <c r="T5" i="5" l="1"/>
  <c r="T6" i="5"/>
  <c r="T7" i="5"/>
  <c r="T8" i="5"/>
  <c r="T9" i="5"/>
  <c r="T10" i="5"/>
  <c r="T11" i="5"/>
  <c r="T12" i="5"/>
  <c r="T13" i="5"/>
  <c r="T14" i="5"/>
  <c r="T15" i="5"/>
  <c r="T16" i="5"/>
  <c r="T17" i="5"/>
  <c r="T18" i="5"/>
  <c r="T19" i="5"/>
  <c r="T20" i="5"/>
  <c r="T21" i="5"/>
  <c r="T22" i="5"/>
  <c r="T23" i="5"/>
  <c r="T24" i="5"/>
  <c r="T25" i="5"/>
  <c r="T26" i="5"/>
  <c r="T27" i="5"/>
  <c r="T28" i="5"/>
  <c r="T29" i="5"/>
  <c r="T30" i="5"/>
  <c r="T31" i="5"/>
  <c r="T32" i="5"/>
  <c r="T4" i="5"/>
  <c r="T5" i="9" l="1"/>
  <c r="P47" i="3" l="1"/>
  <c r="W32" i="3" l="1"/>
  <c r="W29" i="3"/>
  <c r="T12" i="1" l="1"/>
  <c r="T17" i="1" l="1"/>
  <c r="Q4" i="1"/>
  <c r="Q53" i="1" l="1"/>
  <c r="Q52" i="1"/>
  <c r="Q50" i="1"/>
  <c r="Q49" i="1"/>
  <c r="Q47" i="1"/>
  <c r="Q41" i="1"/>
  <c r="Q40" i="1"/>
  <c r="Q39" i="1"/>
  <c r="Q38" i="1"/>
  <c r="Q37" i="1"/>
  <c r="Q29" i="1"/>
  <c r="Q26" i="1"/>
  <c r="Q25" i="1"/>
  <c r="Q24" i="1"/>
  <c r="Q23" i="1"/>
  <c r="Q22" i="1"/>
  <c r="Q21" i="1"/>
  <c r="Q20" i="1"/>
  <c r="Q18" i="1"/>
  <c r="Q16" i="1"/>
  <c r="Q15" i="1"/>
  <c r="Q8" i="1"/>
  <c r="Q7" i="1"/>
  <c r="Q6" i="1"/>
  <c r="Q54" i="1" l="1"/>
  <c r="T5" i="2" l="1"/>
  <c r="T6" i="2"/>
  <c r="T7" i="2"/>
  <c r="T8" i="2"/>
  <c r="T9" i="2"/>
  <c r="T10" i="2"/>
  <c r="T11" i="2"/>
  <c r="T12" i="2"/>
  <c r="T13" i="2"/>
  <c r="T14" i="2"/>
  <c r="T4" i="2"/>
  <c r="T4" i="4"/>
  <c r="Q31" i="5" l="1"/>
  <c r="Q30" i="5"/>
  <c r="Q29" i="5"/>
  <c r="Q28" i="5"/>
  <c r="Q27" i="5"/>
  <c r="Q26" i="5"/>
  <c r="Q25" i="5"/>
  <c r="Q24" i="5"/>
  <c r="Q23" i="5"/>
  <c r="Q22" i="5"/>
  <c r="Q21" i="5"/>
  <c r="Q20" i="5"/>
  <c r="Q19" i="5"/>
  <c r="Q17" i="5"/>
  <c r="Q16" i="5"/>
  <c r="Q15" i="5"/>
  <c r="Q14" i="5"/>
  <c r="Q12" i="5"/>
  <c r="Q11" i="5"/>
  <c r="Q10" i="5"/>
  <c r="Q8" i="5"/>
  <c r="Q7" i="5"/>
  <c r="Q5" i="5"/>
  <c r="Q4" i="5"/>
  <c r="T4" i="6"/>
  <c r="T5" i="6"/>
  <c r="T6" i="6"/>
  <c r="T7" i="6"/>
  <c r="T8" i="6"/>
  <c r="T9" i="6"/>
  <c r="T10" i="6"/>
  <c r="Z7" i="4" l="1"/>
  <c r="Z14" i="7" l="1"/>
  <c r="Z10" i="7"/>
  <c r="L25" i="5"/>
  <c r="Z9" i="1" l="1"/>
  <c r="Z11" i="1"/>
  <c r="L33" i="3" l="1"/>
  <c r="V47" i="3" l="1"/>
  <c r="B5" i="2" l="1"/>
  <c r="B6" i="2" s="1"/>
  <c r="B7" i="2" s="1"/>
  <c r="B8" i="2" s="1"/>
  <c r="B9" i="2" s="1"/>
  <c r="B10" i="2" s="1"/>
  <c r="B11" i="2" s="1"/>
  <c r="B12" i="2" s="1"/>
  <c r="B13" i="2" s="1"/>
  <c r="Z5" i="1" l="1"/>
  <c r="N13" i="1"/>
  <c r="U15" i="2" l="1"/>
  <c r="P15" i="2"/>
  <c r="Q14" i="2"/>
  <c r="W14" i="2"/>
  <c r="V11" i="7"/>
  <c r="AA40" i="3" l="1"/>
  <c r="L28" i="5" l="1"/>
  <c r="L26" i="5"/>
  <c r="I10" i="2"/>
  <c r="O6" i="6"/>
  <c r="O4" i="4" s="1"/>
  <c r="M6" i="6"/>
  <c r="M4" i="4" s="1"/>
  <c r="Z5" i="7"/>
  <c r="O14" i="7"/>
  <c r="M14" i="7"/>
  <c r="K14" i="7"/>
  <c r="I14" i="7"/>
  <c r="L43" i="3" l="1"/>
  <c r="N43" i="3" s="1"/>
  <c r="L42" i="3" l="1"/>
  <c r="N42" i="3" s="1"/>
  <c r="L41" i="3"/>
  <c r="N41" i="3" s="1"/>
  <c r="J40" i="3" l="1"/>
  <c r="L39" i="3"/>
  <c r="N39" i="3" s="1"/>
  <c r="W39" i="3" l="1"/>
  <c r="W40" i="3"/>
  <c r="W41" i="3"/>
  <c r="W42" i="3"/>
  <c r="W43" i="3"/>
  <c r="W44" i="3"/>
  <c r="L22" i="3" l="1"/>
  <c r="L10" i="5" l="1"/>
  <c r="L9" i="1" l="1"/>
  <c r="L14" i="7" s="1"/>
  <c r="N14" i="7" s="1"/>
  <c r="L5" i="1" l="1"/>
  <c r="K31" i="5" l="1"/>
  <c r="L22" i="1" l="1"/>
  <c r="L23" i="1"/>
  <c r="L25" i="1"/>
  <c r="N5" i="10" l="1"/>
  <c r="N82" i="10"/>
  <c r="L14" i="3" l="1"/>
  <c r="L13" i="3"/>
  <c r="L6" i="3"/>
  <c r="L11" i="3"/>
  <c r="W37" i="3" l="1"/>
  <c r="W38" i="3"/>
  <c r="L38" i="3"/>
  <c r="N38" i="3" s="1"/>
  <c r="L37" i="3" l="1"/>
  <c r="N37" i="3" s="1"/>
  <c r="N6" i="2" l="1"/>
  <c r="N7" i="2"/>
  <c r="N8" i="2"/>
  <c r="N9" i="2"/>
  <c r="N10" i="2"/>
  <c r="N11" i="2"/>
  <c r="N5" i="2" l="1"/>
  <c r="M4" i="2" l="1"/>
  <c r="T6" i="4"/>
  <c r="T7" i="4"/>
  <c r="T8" i="4"/>
  <c r="T9" i="4"/>
  <c r="Z6" i="6"/>
  <c r="N10" i="6"/>
  <c r="K4" i="6" l="1"/>
  <c r="J13" i="2" s="1"/>
  <c r="K13" i="2" s="1"/>
  <c r="L13" i="2" s="1"/>
  <c r="N13" i="2" s="1"/>
  <c r="L13" i="7"/>
  <c r="L12" i="7"/>
  <c r="L4" i="6" l="1"/>
  <c r="L21" i="5" l="1"/>
  <c r="L14" i="5" l="1"/>
  <c r="N11" i="5" l="1"/>
  <c r="L8" i="5"/>
  <c r="L8" i="1" l="1"/>
  <c r="L18" i="1" l="1"/>
  <c r="L7" i="1"/>
  <c r="T5" i="4" l="1"/>
  <c r="L4" i="10"/>
  <c r="K40" i="3" l="1"/>
  <c r="L40" i="3" s="1"/>
  <c r="N40" i="3" s="1"/>
  <c r="N4" i="10"/>
  <c r="L26" i="1"/>
  <c r="N26" i="1" s="1"/>
  <c r="N5" i="3" l="1"/>
  <c r="L12" i="2"/>
  <c r="N12" i="2" s="1"/>
  <c r="V54" i="1" l="1"/>
  <c r="P54" i="1"/>
  <c r="Q13" i="2" l="1"/>
  <c r="Q12" i="2"/>
  <c r="W13" i="2"/>
  <c r="W12" i="2"/>
  <c r="W36" i="3"/>
  <c r="L36" i="3"/>
  <c r="N36" i="3" s="1"/>
  <c r="U33" i="5" l="1"/>
  <c r="V33" i="5" l="1"/>
  <c r="P33" i="5"/>
  <c r="Z21" i="10" l="1"/>
  <c r="T21" i="10"/>
  <c r="N5" i="6" l="1"/>
  <c r="N6" i="6"/>
  <c r="N7" i="6"/>
  <c r="N8" i="6"/>
  <c r="N9" i="6"/>
  <c r="N4" i="6"/>
  <c r="N5" i="7"/>
  <c r="N6" i="7"/>
  <c r="N7" i="7"/>
  <c r="N8" i="7"/>
  <c r="N9" i="7"/>
  <c r="N10" i="7"/>
  <c r="N12" i="7"/>
  <c r="N13" i="7"/>
  <c r="N15" i="7"/>
  <c r="E21" i="8" l="1"/>
  <c r="L75" i="10"/>
  <c r="N75" i="10" s="1"/>
  <c r="L73" i="10"/>
  <c r="N73" i="10" s="1"/>
  <c r="L70" i="10"/>
  <c r="N70" i="10" s="1"/>
  <c r="L81" i="10"/>
  <c r="N81" i="10" s="1"/>
  <c r="L80" i="10" l="1"/>
  <c r="N80" i="10" s="1"/>
  <c r="L74" i="10" l="1"/>
  <c r="N74" i="10" s="1"/>
  <c r="L69" i="10" l="1"/>
  <c r="N69" i="10" s="1"/>
  <c r="L68" i="10"/>
  <c r="N68" i="10" s="1"/>
  <c r="L67" i="10" l="1"/>
  <c r="N67" i="10" s="1"/>
  <c r="L31" i="10"/>
  <c r="N31" i="10" s="1"/>
  <c r="Z8" i="10" l="1"/>
  <c r="Z9" i="10"/>
  <c r="Z11" i="10"/>
  <c r="Z12" i="10"/>
  <c r="Z13" i="10"/>
  <c r="Z14" i="10"/>
  <c r="Z16" i="10"/>
  <c r="Z17" i="10"/>
  <c r="Z18" i="10"/>
  <c r="Z22" i="10"/>
  <c r="Z23" i="10"/>
  <c r="Z24" i="10"/>
  <c r="Z25" i="10"/>
  <c r="Z26" i="10"/>
  <c r="Z27" i="10"/>
  <c r="Z28"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6" i="10"/>
  <c r="Z71" i="10"/>
  <c r="Z72" i="10"/>
  <c r="Z74" i="10"/>
  <c r="Z76" i="10"/>
  <c r="Z77" i="10"/>
  <c r="Z82" i="10"/>
  <c r="Z6" i="10"/>
  <c r="Z5" i="10"/>
  <c r="Z4" i="10"/>
  <c r="Z79" i="10" l="1"/>
  <c r="T50" i="10"/>
  <c r="T5" i="10"/>
  <c r="T6" i="10"/>
  <c r="T7" i="10"/>
  <c r="T8" i="10"/>
  <c r="T9" i="10"/>
  <c r="T10" i="10"/>
  <c r="T11" i="10"/>
  <c r="T12" i="10"/>
  <c r="T13" i="10"/>
  <c r="T14" i="10"/>
  <c r="T15" i="10"/>
  <c r="T16" i="10"/>
  <c r="T17" i="10"/>
  <c r="T18" i="10"/>
  <c r="T19" i="10"/>
  <c r="T20"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1" i="10"/>
  <c r="T52" i="10"/>
  <c r="T53" i="10"/>
  <c r="T54" i="10"/>
  <c r="T55" i="10"/>
  <c r="T56" i="10"/>
  <c r="T57" i="10"/>
  <c r="T58" i="10"/>
  <c r="T59" i="10"/>
  <c r="T60" i="10"/>
  <c r="T61" i="10"/>
  <c r="T62" i="10"/>
  <c r="T63" i="10"/>
  <c r="T64" i="10"/>
  <c r="T65" i="10"/>
  <c r="T66" i="10"/>
  <c r="T67" i="10"/>
  <c r="T68" i="10"/>
  <c r="T69" i="10"/>
  <c r="T70" i="10"/>
  <c r="T71" i="10"/>
  <c r="T72" i="10"/>
  <c r="T73" i="10"/>
  <c r="T74" i="10"/>
  <c r="T75" i="10"/>
  <c r="T76" i="10"/>
  <c r="T77" i="10"/>
  <c r="T78" i="10"/>
  <c r="T79" i="10"/>
  <c r="T80" i="10"/>
  <c r="T81" i="10"/>
  <c r="T82" i="10"/>
  <c r="V83" i="10" l="1"/>
  <c r="U83" i="10"/>
  <c r="L30" i="10" l="1"/>
  <c r="N30" i="10" s="1"/>
  <c r="L29" i="10"/>
  <c r="N29" i="10" s="1"/>
  <c r="L15" i="10" l="1"/>
  <c r="N15" i="10" s="1"/>
  <c r="L10" i="10" l="1"/>
  <c r="N10" i="10" s="1"/>
  <c r="Q83" i="10" l="1"/>
  <c r="P83" i="10"/>
  <c r="L7" i="10"/>
  <c r="N7" i="10" s="1"/>
  <c r="F12" i="10" l="1"/>
  <c r="W5" i="10" l="1"/>
  <c r="W6" i="10"/>
  <c r="W7" i="10"/>
  <c r="W8" i="10"/>
  <c r="W9" i="10"/>
  <c r="W10" i="10"/>
  <c r="W11" i="10"/>
  <c r="W12" i="10"/>
  <c r="W13" i="10"/>
  <c r="W14" i="10"/>
  <c r="W15" i="10"/>
  <c r="W16" i="10"/>
  <c r="W17" i="10"/>
  <c r="W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T4" i="10"/>
  <c r="T83" i="10" s="1"/>
  <c r="N8" i="10"/>
  <c r="N9" i="10"/>
  <c r="N11" i="10"/>
  <c r="N12" i="10"/>
  <c r="N13" i="10"/>
  <c r="N14" i="10"/>
  <c r="N16" i="10"/>
  <c r="N17" i="10"/>
  <c r="N18" i="10"/>
  <c r="N19" i="10"/>
  <c r="N20" i="10"/>
  <c r="N22" i="10"/>
  <c r="N23" i="10"/>
  <c r="N24" i="10"/>
  <c r="N25" i="10"/>
  <c r="N26" i="10"/>
  <c r="N27" i="10"/>
  <c r="N28"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71" i="10"/>
  <c r="N72" i="10"/>
  <c r="N76" i="10"/>
  <c r="N77" i="10"/>
  <c r="N78" i="10"/>
  <c r="N79" i="10"/>
  <c r="N6" i="10"/>
  <c r="W4" i="10" l="1"/>
  <c r="W83" i="10"/>
  <c r="Z5" i="9"/>
  <c r="Q10" i="9"/>
  <c r="Q24" i="9" l="1"/>
  <c r="P24" i="9"/>
  <c r="V24" i="9"/>
  <c r="U24" i="9"/>
  <c r="W5" i="9"/>
  <c r="T6" i="9"/>
  <c r="W6" i="9" s="1"/>
  <c r="Z6" i="9" s="1"/>
  <c r="T7" i="9"/>
  <c r="W7" i="9" s="1"/>
  <c r="Z7" i="9" s="1"/>
  <c r="T8" i="9"/>
  <c r="W8" i="9" s="1"/>
  <c r="Z8" i="9" s="1"/>
  <c r="T9" i="9"/>
  <c r="W9" i="9" s="1"/>
  <c r="Z9" i="9" s="1"/>
  <c r="T10" i="9"/>
  <c r="W10" i="9" s="1"/>
  <c r="T11" i="9"/>
  <c r="W11" i="9" s="1"/>
  <c r="Z11" i="9" s="1"/>
  <c r="T12" i="9"/>
  <c r="W12" i="9" s="1"/>
  <c r="Z12" i="9" s="1"/>
  <c r="T13" i="9"/>
  <c r="W13" i="9" s="1"/>
  <c r="Z13" i="9" s="1"/>
  <c r="T14" i="9"/>
  <c r="W14" i="9" s="1"/>
  <c r="Z14" i="9" s="1"/>
  <c r="T15" i="9"/>
  <c r="W15" i="9" s="1"/>
  <c r="Z15" i="9" s="1"/>
  <c r="T16" i="9"/>
  <c r="W16" i="9" s="1"/>
  <c r="Z16" i="9" s="1"/>
  <c r="T17" i="9"/>
  <c r="W17" i="9" s="1"/>
  <c r="Z17" i="9" s="1"/>
  <c r="T18" i="9"/>
  <c r="W18" i="9" s="1"/>
  <c r="Z18" i="9" s="1"/>
  <c r="T19" i="9"/>
  <c r="W19" i="9" s="1"/>
  <c r="Z19" i="9" s="1"/>
  <c r="T20" i="9"/>
  <c r="W20" i="9" s="1"/>
  <c r="Z20" i="9" s="1"/>
  <c r="T21" i="9"/>
  <c r="W21" i="9" s="1"/>
  <c r="Z21" i="9" s="1"/>
  <c r="T22" i="9"/>
  <c r="W22" i="9" s="1"/>
  <c r="Z22" i="9" s="1"/>
  <c r="T23" i="9"/>
  <c r="W23" i="9" s="1"/>
  <c r="Z23" i="9" s="1"/>
  <c r="T4" i="9"/>
  <c r="W4" i="9" l="1"/>
  <c r="Z4" i="9" s="1"/>
  <c r="T24" i="9"/>
  <c r="W24" i="9" s="1"/>
  <c r="N7" i="9" l="1"/>
  <c r="N8" i="9"/>
  <c r="N9" i="9"/>
  <c r="N10" i="9"/>
  <c r="N11" i="9"/>
  <c r="N12" i="9"/>
  <c r="N13" i="9"/>
  <c r="N14" i="9"/>
  <c r="N15" i="9"/>
  <c r="N16" i="9"/>
  <c r="N17" i="9"/>
  <c r="N18" i="9"/>
  <c r="N19" i="9"/>
  <c r="N20" i="9"/>
  <c r="N21" i="9"/>
  <c r="N22" i="9"/>
  <c r="N23" i="9"/>
  <c r="N6" i="9"/>
  <c r="L11" i="9"/>
  <c r="L12" i="9"/>
  <c r="L14" i="9"/>
  <c r="L15" i="9"/>
  <c r="L16" i="9"/>
  <c r="L17" i="9"/>
  <c r="L18" i="9"/>
  <c r="L19" i="9"/>
  <c r="L20" i="9"/>
  <c r="L21" i="9"/>
  <c r="L22" i="9"/>
  <c r="L23" i="9"/>
  <c r="L7" i="9"/>
  <c r="L8" i="9"/>
  <c r="L9" i="9"/>
  <c r="L6" i="9"/>
  <c r="L50" i="1" l="1"/>
  <c r="N50" i="1" s="1"/>
  <c r="L51" i="1"/>
  <c r="L52" i="1"/>
  <c r="N52" i="1" s="1"/>
  <c r="L49" i="1"/>
  <c r="N49" i="1" s="1"/>
  <c r="L47" i="1"/>
  <c r="N47" i="1" s="1"/>
  <c r="L40" i="1"/>
  <c r="N40" i="1" s="1"/>
  <c r="L20" i="1"/>
  <c r="N20" i="1" s="1"/>
  <c r="W11" i="2"/>
  <c r="Q11" i="2"/>
  <c r="W10" i="2"/>
  <c r="Q10" i="2"/>
  <c r="W9" i="2"/>
  <c r="Q9" i="2"/>
  <c r="W8" i="2"/>
  <c r="Q8" i="2"/>
  <c r="W7" i="2"/>
  <c r="Q7" i="2"/>
  <c r="W6" i="2"/>
  <c r="Q6" i="2"/>
  <c r="W5" i="2"/>
  <c r="Q5" i="2"/>
  <c r="Q4" i="2"/>
  <c r="N4" i="2"/>
  <c r="P10" i="4"/>
  <c r="W9" i="4"/>
  <c r="W8" i="4"/>
  <c r="L8" i="4"/>
  <c r="N8" i="4" s="1"/>
  <c r="W7" i="4"/>
  <c r="U10" i="4"/>
  <c r="W6" i="4"/>
  <c r="L6" i="4"/>
  <c r="N6" i="4" s="1"/>
  <c r="W5" i="4"/>
  <c r="L5" i="4"/>
  <c r="N5" i="4" s="1"/>
  <c r="L4" i="4"/>
  <c r="N4" i="4" s="1"/>
  <c r="V11" i="6"/>
  <c r="U11" i="6"/>
  <c r="Q11" i="6"/>
  <c r="P11" i="6"/>
  <c r="W10" i="6"/>
  <c r="W9" i="6"/>
  <c r="W8" i="6"/>
  <c r="W7" i="6"/>
  <c r="W6" i="6"/>
  <c r="W5" i="6"/>
  <c r="U16" i="7"/>
  <c r="T15" i="7"/>
  <c r="W15" i="7" s="1"/>
  <c r="T14" i="7"/>
  <c r="W14" i="7" s="1"/>
  <c r="T13" i="7"/>
  <c r="W13" i="7" s="1"/>
  <c r="T12" i="7"/>
  <c r="W12" i="7" s="1"/>
  <c r="S12" i="7"/>
  <c r="P16" i="7"/>
  <c r="T10" i="7"/>
  <c r="W10" i="7" s="1"/>
  <c r="T9" i="7"/>
  <c r="W9" i="7" s="1"/>
  <c r="S9" i="7"/>
  <c r="T8" i="7"/>
  <c r="W8" i="7" s="1"/>
  <c r="T7" i="7"/>
  <c r="W7" i="7" s="1"/>
  <c r="T6" i="7"/>
  <c r="W6" i="7" s="1"/>
  <c r="T5" i="7"/>
  <c r="W5" i="7" s="1"/>
  <c r="T4" i="7"/>
  <c r="I46" i="3"/>
  <c r="W45" i="3"/>
  <c r="I45" i="3"/>
  <c r="J45" i="3" s="1"/>
  <c r="K45" i="3" s="1"/>
  <c r="L45" i="3" s="1"/>
  <c r="I44" i="3"/>
  <c r="J44" i="3" s="1"/>
  <c r="K44" i="3" s="1"/>
  <c r="L44" i="3" s="1"/>
  <c r="W35" i="3"/>
  <c r="L35" i="3"/>
  <c r="N35" i="3" s="1"/>
  <c r="W34" i="3"/>
  <c r="L34" i="3"/>
  <c r="N34" i="3" s="1"/>
  <c r="W33" i="3"/>
  <c r="N33" i="3"/>
  <c r="N32" i="3"/>
  <c r="W31" i="3"/>
  <c r="N31" i="3"/>
  <c r="W30" i="3"/>
  <c r="N30" i="3"/>
  <c r="N29" i="3"/>
  <c r="W28" i="3"/>
  <c r="N28" i="3"/>
  <c r="W27" i="3"/>
  <c r="L27" i="3"/>
  <c r="N27" i="3" s="1"/>
  <c r="W26" i="3"/>
  <c r="L26" i="3"/>
  <c r="N26" i="3" s="1"/>
  <c r="W25" i="3"/>
  <c r="L25" i="3"/>
  <c r="N25" i="3" s="1"/>
  <c r="W24" i="3"/>
  <c r="L24" i="3"/>
  <c r="N24" i="3" s="1"/>
  <c r="W23" i="3"/>
  <c r="L23" i="3"/>
  <c r="N23" i="3" s="1"/>
  <c r="W22" i="3"/>
  <c r="N22" i="3"/>
  <c r="W21" i="3"/>
  <c r="N21" i="3"/>
  <c r="W20" i="3"/>
  <c r="W19" i="3"/>
  <c r="N19" i="3"/>
  <c r="W18" i="3"/>
  <c r="L18" i="3"/>
  <c r="N18" i="3" s="1"/>
  <c r="W17" i="3"/>
  <c r="N17" i="3"/>
  <c r="W16" i="3"/>
  <c r="L16" i="3"/>
  <c r="W15" i="3"/>
  <c r="L15" i="3"/>
  <c r="N15" i="3" s="1"/>
  <c r="W14" i="3"/>
  <c r="N14" i="3"/>
  <c r="W13" i="3"/>
  <c r="N13" i="3"/>
  <c r="W12" i="3"/>
  <c r="L12" i="3"/>
  <c r="N12" i="3" s="1"/>
  <c r="W11" i="3"/>
  <c r="N11" i="3"/>
  <c r="W10" i="3"/>
  <c r="L10" i="3"/>
  <c r="N10" i="3" s="1"/>
  <c r="W9" i="3"/>
  <c r="N9" i="3"/>
  <c r="W8" i="3"/>
  <c r="L8" i="3"/>
  <c r="N8" i="3" s="1"/>
  <c r="W7" i="3"/>
  <c r="N7" i="3"/>
  <c r="W6" i="3"/>
  <c r="N6" i="3"/>
  <c r="B5" i="3"/>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L4" i="3"/>
  <c r="N4" i="3" s="1"/>
  <c r="W32" i="5"/>
  <c r="Z32" i="5" s="1"/>
  <c r="W31" i="5"/>
  <c r="N31" i="5"/>
  <c r="W30" i="5"/>
  <c r="N30" i="5"/>
  <c r="W29" i="5"/>
  <c r="N29" i="5"/>
  <c r="W28" i="5"/>
  <c r="N28" i="5"/>
  <c r="W27" i="5"/>
  <c r="N27" i="5"/>
  <c r="W26" i="5"/>
  <c r="N26" i="5"/>
  <c r="B26" i="5"/>
  <c r="B27" i="5" s="1"/>
  <c r="B28" i="5" s="1"/>
  <c r="B29" i="5" s="1"/>
  <c r="B30" i="5" s="1"/>
  <c r="W25" i="5"/>
  <c r="N25" i="5"/>
  <c r="W24" i="5"/>
  <c r="N24" i="5"/>
  <c r="W23" i="5"/>
  <c r="N23" i="5"/>
  <c r="W22" i="5"/>
  <c r="N22" i="5"/>
  <c r="W21" i="5"/>
  <c r="N21" i="5"/>
  <c r="W20" i="5"/>
  <c r="N20" i="5"/>
  <c r="W19" i="5"/>
  <c r="N19" i="5"/>
  <c r="B19" i="5"/>
  <c r="B20" i="5" s="1"/>
  <c r="B21" i="5" s="1"/>
  <c r="B22" i="5" s="1"/>
  <c r="B23" i="5" s="1"/>
  <c r="B24" i="5" s="1"/>
  <c r="W18" i="5"/>
  <c r="Z18" i="5" s="1"/>
  <c r="N18" i="5"/>
  <c r="W17" i="5"/>
  <c r="N17" i="5"/>
  <c r="W16" i="5"/>
  <c r="N16" i="5"/>
  <c r="W15" i="5"/>
  <c r="W14" i="5"/>
  <c r="N14" i="5"/>
  <c r="W13" i="5"/>
  <c r="Z13" i="5" s="1"/>
  <c r="N13" i="5"/>
  <c r="W12" i="5"/>
  <c r="N12" i="5"/>
  <c r="W11" i="5"/>
  <c r="W10" i="5"/>
  <c r="N10" i="5"/>
  <c r="B10" i="5"/>
  <c r="B11" i="5" s="1"/>
  <c r="B12" i="5" s="1"/>
  <c r="B13" i="5" s="1"/>
  <c r="B14" i="5" s="1"/>
  <c r="B15" i="5" s="1"/>
  <c r="W9" i="5"/>
  <c r="Z9" i="5" s="1"/>
  <c r="N9" i="5"/>
  <c r="W8" i="5"/>
  <c r="N8" i="5"/>
  <c r="W7" i="5"/>
  <c r="N7" i="5"/>
  <c r="N6" i="5"/>
  <c r="N5" i="5"/>
  <c r="W4" i="5"/>
  <c r="N4" i="5"/>
  <c r="B4" i="5"/>
  <c r="N24" i="1"/>
  <c r="N25" i="1"/>
  <c r="N23" i="1"/>
  <c r="N22" i="1"/>
  <c r="N21" i="1"/>
  <c r="N12" i="1"/>
  <c r="N11" i="1"/>
  <c r="N9" i="1"/>
  <c r="N8" i="1"/>
  <c r="N7" i="1"/>
  <c r="N6" i="1"/>
  <c r="N5" i="1"/>
  <c r="N4" i="1"/>
  <c r="T54" i="1"/>
  <c r="W54" i="1" s="1"/>
  <c r="T5" i="1"/>
  <c r="W5" i="1" s="1"/>
  <c r="T6" i="1"/>
  <c r="T7" i="1"/>
  <c r="W7" i="1" s="1"/>
  <c r="T8" i="1"/>
  <c r="W8" i="1" s="1"/>
  <c r="T9" i="1"/>
  <c r="W9" i="1" s="1"/>
  <c r="T10" i="1"/>
  <c r="W10" i="1" s="1"/>
  <c r="Z10" i="1" s="1"/>
  <c r="T11" i="1"/>
  <c r="W11" i="1" s="1"/>
  <c r="W12" i="1"/>
  <c r="W13" i="1"/>
  <c r="Z13" i="1" s="1"/>
  <c r="T14" i="1"/>
  <c r="W14" i="1" s="1"/>
  <c r="Z14" i="1" s="1"/>
  <c r="T15" i="1"/>
  <c r="W15" i="1" s="1"/>
  <c r="T16" i="1"/>
  <c r="W16" i="1" s="1"/>
  <c r="W17" i="1"/>
  <c r="Z17" i="1" s="1"/>
  <c r="T18" i="1"/>
  <c r="W18" i="1" s="1"/>
  <c r="T19" i="1"/>
  <c r="W19" i="1" s="1"/>
  <c r="Z19" i="1" s="1"/>
  <c r="T20" i="1"/>
  <c r="W20" i="1" s="1"/>
  <c r="T21" i="1"/>
  <c r="W21" i="1" s="1"/>
  <c r="T22" i="1"/>
  <c r="W22" i="1" s="1"/>
  <c r="T23" i="1"/>
  <c r="W23" i="1" s="1"/>
  <c r="T24" i="1"/>
  <c r="W24" i="1" s="1"/>
  <c r="T25" i="1"/>
  <c r="W25" i="1" s="1"/>
  <c r="T26" i="1"/>
  <c r="W26" i="1" s="1"/>
  <c r="T27" i="1"/>
  <c r="W27" i="1" s="1"/>
  <c r="Z27" i="1" s="1"/>
  <c r="T28" i="1"/>
  <c r="W28" i="1" s="1"/>
  <c r="Z28" i="1" s="1"/>
  <c r="T29" i="1"/>
  <c r="W29" i="1" s="1"/>
  <c r="T30" i="1"/>
  <c r="W30" i="1" s="1"/>
  <c r="Z30" i="1" s="1"/>
  <c r="T31" i="1"/>
  <c r="W31" i="1" s="1"/>
  <c r="Z31" i="1" s="1"/>
  <c r="T32" i="1"/>
  <c r="W32" i="1" s="1"/>
  <c r="Z32" i="1" s="1"/>
  <c r="T33" i="1"/>
  <c r="W33" i="1" s="1"/>
  <c r="Z33" i="1" s="1"/>
  <c r="T34" i="1"/>
  <c r="W34" i="1" s="1"/>
  <c r="Z34" i="1" s="1"/>
  <c r="T35" i="1"/>
  <c r="W35" i="1" s="1"/>
  <c r="Z35" i="1" s="1"/>
  <c r="T36" i="1"/>
  <c r="W36" i="1" s="1"/>
  <c r="Z36" i="1" s="1"/>
  <c r="T37" i="1"/>
  <c r="W37" i="1" s="1"/>
  <c r="T38" i="1"/>
  <c r="W38" i="1" s="1"/>
  <c r="T39" i="1"/>
  <c r="W39" i="1" s="1"/>
  <c r="T40" i="1"/>
  <c r="W40" i="1" s="1"/>
  <c r="T41" i="1"/>
  <c r="W41" i="1" s="1"/>
  <c r="Z41" i="1" s="1"/>
  <c r="T42" i="1"/>
  <c r="W42" i="1" s="1"/>
  <c r="Z42" i="1" s="1"/>
  <c r="T43" i="1"/>
  <c r="W43" i="1" s="1"/>
  <c r="Z43" i="1" s="1"/>
  <c r="T44" i="1"/>
  <c r="W44" i="1" s="1"/>
  <c r="Z44" i="1" s="1"/>
  <c r="T45" i="1"/>
  <c r="W45" i="1" s="1"/>
  <c r="T46" i="1"/>
  <c r="W46" i="1" s="1"/>
  <c r="Z46" i="1" s="1"/>
  <c r="T47" i="1"/>
  <c r="W47" i="1" s="1"/>
  <c r="T48" i="1"/>
  <c r="W48" i="1" s="1"/>
  <c r="Z48" i="1" s="1"/>
  <c r="T49" i="1"/>
  <c r="W49" i="1" s="1"/>
  <c r="T50" i="1"/>
  <c r="W50" i="1" s="1"/>
  <c r="T51" i="1"/>
  <c r="W51" i="1" s="1"/>
  <c r="T52" i="1"/>
  <c r="W52" i="1" s="1"/>
  <c r="T53" i="1"/>
  <c r="W53" i="1" s="1"/>
  <c r="Z53" i="1" s="1"/>
  <c r="T4" i="1"/>
  <c r="W4" i="1" s="1"/>
  <c r="L29" i="1"/>
  <c r="N29" i="1" s="1"/>
  <c r="Q15" i="2" l="1"/>
  <c r="L7" i="4"/>
  <c r="N7" i="4" s="1"/>
  <c r="Q10" i="4"/>
  <c r="W6" i="1"/>
  <c r="W5" i="3"/>
  <c r="W6" i="5"/>
  <c r="Z6" i="5" s="1"/>
  <c r="W4" i="2"/>
  <c r="T15" i="2"/>
  <c r="Q16" i="7"/>
  <c r="K46" i="3"/>
  <c r="J46" i="3"/>
  <c r="L46" i="3" s="1"/>
  <c r="B37" i="3"/>
  <c r="B38" i="3" s="1"/>
  <c r="L9" i="4"/>
  <c r="N9" i="4" s="1"/>
  <c r="K4" i="7"/>
  <c r="L4" i="7" s="1"/>
  <c r="N4" i="7" s="1"/>
  <c r="Q47" i="3"/>
  <c r="Q33" i="5"/>
  <c r="W5" i="5"/>
  <c r="T33" i="5"/>
  <c r="T11" i="6"/>
  <c r="W11" i="6" s="1"/>
  <c r="W4" i="6"/>
  <c r="W4" i="7"/>
  <c r="W15" i="2" l="1"/>
  <c r="W33" i="5"/>
  <c r="B39" i="3"/>
  <c r="B40" i="3" s="1"/>
  <c r="B41" i="3" s="1"/>
  <c r="B42" i="3" s="1"/>
  <c r="B43" i="3" s="1"/>
  <c r="B44" i="3" s="1"/>
  <c r="B45" i="3" s="1"/>
  <c r="B46" i="3" s="1"/>
  <c r="N5" i="9"/>
  <c r="V16" i="7"/>
  <c r="Z11" i="7"/>
  <c r="T11" i="7"/>
  <c r="W11" i="7" l="1"/>
  <c r="T16" i="7"/>
  <c r="W16" i="7" l="1"/>
  <c r="Z4" i="4"/>
  <c r="V10" i="4"/>
  <c r="W4" i="4"/>
  <c r="T10" i="4" l="1"/>
  <c r="W10" i="4" s="1"/>
  <c r="N18" i="1" l="1"/>
  <c r="U47" i="3"/>
  <c r="T47" i="3"/>
  <c r="W47" i="3" s="1"/>
  <c r="W4" i="3"/>
</calcChain>
</file>

<file path=xl/sharedStrings.xml><?xml version="1.0" encoding="utf-8"?>
<sst xmlns="http://schemas.openxmlformats.org/spreadsheetml/2006/main" count="4461" uniqueCount="1134">
  <si>
    <t>#</t>
  </si>
  <si>
    <t>Company</t>
  </si>
  <si>
    <t>Business / Brand</t>
  </si>
  <si>
    <t>Geography</t>
  </si>
  <si>
    <t>Sector</t>
  </si>
  <si>
    <t>Date</t>
  </si>
  <si>
    <t>Stage at Entry</t>
  </si>
  <si>
    <t>Current Stage</t>
  </si>
  <si>
    <t>Entry Valuation</t>
  </si>
  <si>
    <t>Last Round Valuation</t>
  </si>
  <si>
    <t>Valuation used for Mark to Market</t>
  </si>
  <si>
    <t xml:space="preserve">Discount to last round </t>
  </si>
  <si>
    <t>Effective Valuation for Mark-to-market</t>
  </si>
  <si>
    <t>Valuation Basis</t>
  </si>
  <si>
    <t>Total Invested Cost</t>
  </si>
  <si>
    <t>Residual Cost</t>
  </si>
  <si>
    <t>Total Value</t>
  </si>
  <si>
    <t>Unrealised Value</t>
  </si>
  <si>
    <t>Realised Value</t>
  </si>
  <si>
    <t>Gross MOIC</t>
  </si>
  <si>
    <t>If Exited, Mode of Exit</t>
  </si>
  <si>
    <t>GP Exit MOIC</t>
  </si>
  <si>
    <t>Value Creation by Fund</t>
  </si>
  <si>
    <t>Sourcing Route</t>
  </si>
  <si>
    <t>Deal Source</t>
  </si>
  <si>
    <t>Deal Lead</t>
  </si>
  <si>
    <t>MM/YY</t>
  </si>
  <si>
    <t>%</t>
  </si>
  <si>
    <t>Sorting Hat Technology Private Limited</t>
  </si>
  <si>
    <t>Unacademy</t>
  </si>
  <si>
    <t>Bengaluru</t>
  </si>
  <si>
    <t>EdTech</t>
  </si>
  <si>
    <t>Seed</t>
  </si>
  <si>
    <t>Series H</t>
  </si>
  <si>
    <t xml:space="preserve">Investor connect, Finance &amp; compliance support , ESOP , operational finance support , hiring </t>
  </si>
  <si>
    <t>Eco-system referral</t>
  </si>
  <si>
    <t>Karthik</t>
  </si>
  <si>
    <t>Value Drive Technologies Pvt Ltd</t>
  </si>
  <si>
    <t>Spinny</t>
  </si>
  <si>
    <t>Delhi</t>
  </si>
  <si>
    <t>Consumer Services</t>
  </si>
  <si>
    <t>Series E</t>
  </si>
  <si>
    <t xml:space="preserve">Debt,  Strategy, Investor connect, Finance &amp; compliance support </t>
  </si>
  <si>
    <t>Arpit</t>
  </si>
  <si>
    <t>Dunzo Digital Private Limited</t>
  </si>
  <si>
    <t>Dunzo</t>
  </si>
  <si>
    <t>Consumer Tech</t>
  </si>
  <si>
    <t>Series F</t>
  </si>
  <si>
    <t>Provisioned 100%</t>
  </si>
  <si>
    <t>NA</t>
  </si>
  <si>
    <t xml:space="preserve">Investor connect, Finance &amp; compliance support , Hiring </t>
  </si>
  <si>
    <t>LP referral</t>
  </si>
  <si>
    <t>Adit*</t>
  </si>
  <si>
    <t>Garagepreneurs Internet Private Limited</t>
  </si>
  <si>
    <t>Slice</t>
  </si>
  <si>
    <t>FinTech</t>
  </si>
  <si>
    <t>Series A1</t>
  </si>
  <si>
    <t>Series B1</t>
  </si>
  <si>
    <t>Business development connects, Strategy, Investor connect, Compliance support , operational finnace support, business structuring</t>
  </si>
  <si>
    <t>Events / Outbound</t>
  </si>
  <si>
    <t>Ashish</t>
  </si>
  <si>
    <t>Tricog Health Pte Ltd</t>
  </si>
  <si>
    <t>Tricog</t>
  </si>
  <si>
    <t>Singapore</t>
  </si>
  <si>
    <t>HealthTech</t>
  </si>
  <si>
    <t>Series A</t>
  </si>
  <si>
    <t>Series C</t>
  </si>
  <si>
    <t xml:space="preserve">Strategy, Finance support , Investor connect , Structuring of business as a SG domiciled entity, operational finance support </t>
  </si>
  <si>
    <t>Inbound / Events</t>
  </si>
  <si>
    <t>Sanjay</t>
  </si>
  <si>
    <t>Smallcase Technologies Private Limited</t>
  </si>
  <si>
    <t>SmallCase</t>
  </si>
  <si>
    <t xml:space="preserve">Fund raise connect, Finance &amp; complaince support, strategy, hiring, operational finance support </t>
  </si>
  <si>
    <t>Founder network</t>
  </si>
  <si>
    <t>Rohan*</t>
  </si>
  <si>
    <t>Carthero Technologies Private Limited</t>
  </si>
  <si>
    <t>Runnr</t>
  </si>
  <si>
    <t>Acquired by Zomato</t>
  </si>
  <si>
    <t>Business development connects, strategy, Investor connect, compliance support , ESOP structuring , exit sructuring and execution</t>
  </si>
  <si>
    <t>Service Lee Technologies Private Limited</t>
  </si>
  <si>
    <t>Servify</t>
  </si>
  <si>
    <t>Mumbai</t>
  </si>
  <si>
    <t>Series D3</t>
  </si>
  <si>
    <t>Investor connect, round support, strategy, M&amp;A, hiring, Finance &amp; compliance support</t>
  </si>
  <si>
    <t>Bombinate Technologies Private Limited</t>
  </si>
  <si>
    <t>Vokal</t>
  </si>
  <si>
    <t>Social Media</t>
  </si>
  <si>
    <t>Investor connect, hiring</t>
  </si>
  <si>
    <t>Tiger Global, Mirae, IIFL Accel, 3one4, Kalaari</t>
  </si>
  <si>
    <t xml:space="preserve">ex-portfolio founder </t>
  </si>
  <si>
    <t>Mara Labs Inc.</t>
  </si>
  <si>
    <t>Locus</t>
  </si>
  <si>
    <t>USA</t>
  </si>
  <si>
    <t>Logistics</t>
  </si>
  <si>
    <t xml:space="preserve">Hiring, Investor connect </t>
  </si>
  <si>
    <t>Hybrent Inc.</t>
  </si>
  <si>
    <t>Hybrent</t>
  </si>
  <si>
    <t>Exit Value</t>
  </si>
  <si>
    <t>Acquired by Procurement Partners</t>
  </si>
  <si>
    <t>Montane Ventures</t>
  </si>
  <si>
    <t>mPAANI Solutions Private Limited</t>
  </si>
  <si>
    <t>LoveLocal</t>
  </si>
  <si>
    <t>Retail-Tech</t>
  </si>
  <si>
    <t>Pre-Series B</t>
  </si>
  <si>
    <t>Cost</t>
  </si>
  <si>
    <t>Business development, Finance &amp; compliance support , Hiring , ESOP, Investor connect</t>
  </si>
  <si>
    <t>Vulcan, AVG, IDG,Chiratae, Technology Venture Fund,Saha Fund, Henkel, ACV, Candy Capital</t>
  </si>
  <si>
    <t>Sajid Fazalbhoy*</t>
  </si>
  <si>
    <t>Squadrun Inc.</t>
  </si>
  <si>
    <t>Squad</t>
  </si>
  <si>
    <t>B2B Services</t>
  </si>
  <si>
    <t>Series B</t>
  </si>
  <si>
    <t>Business Development connect , hiring</t>
  </si>
  <si>
    <t>True Software Scandinavia AB</t>
  </si>
  <si>
    <t>Truecaller</t>
  </si>
  <si>
    <t>Exit Value (Includes proceeds from Chillr)</t>
  </si>
  <si>
    <t>Acquired by Truecaller in a stock swap deal</t>
  </si>
  <si>
    <t>Sequioa,Uniqorn Ventures,MOBME Wireless</t>
  </si>
  <si>
    <t>Yulu Bikes Pvt Ltd</t>
  </si>
  <si>
    <t>Yulu</t>
  </si>
  <si>
    <t>Urban Mobility</t>
  </si>
  <si>
    <t>CCD</t>
  </si>
  <si>
    <t>Series B2</t>
  </si>
  <si>
    <t xml:space="preserve">Investor connects for follow-on rounds, Finance &amp; complaince support, Hiring </t>
  </si>
  <si>
    <t>Founder network ( connected through the founder's prior startup)</t>
  </si>
  <si>
    <t>Minjar Inc</t>
  </si>
  <si>
    <t>Minjar</t>
  </si>
  <si>
    <t>SaaS</t>
  </si>
  <si>
    <t>Acquired by Nutanix Inc</t>
  </si>
  <si>
    <t>Business development connects, strategy, Investor connect, compliance support , exit sructuring and execution</t>
  </si>
  <si>
    <t>Healthifyme Pte Ltd</t>
  </si>
  <si>
    <t>Healthifyme</t>
  </si>
  <si>
    <t>Convert Note</t>
  </si>
  <si>
    <t>Strategy, Finance support , Investor connect , hiring</t>
  </si>
  <si>
    <t>Sekhmet Technologies Private Limited</t>
  </si>
  <si>
    <t>THB</t>
  </si>
  <si>
    <t xml:space="preserve">Finance &amp; Compliance support , general counsel, hiring </t>
  </si>
  <si>
    <t>Health Arx Technologies Private Limited</t>
  </si>
  <si>
    <t>BeatO</t>
  </si>
  <si>
    <t>Pre Series A</t>
  </si>
  <si>
    <t xml:space="preserve">Hiring, strategy and goal setting, market research, business development , Investor connect </t>
  </si>
  <si>
    <t>Mycelium Software Inc.</t>
  </si>
  <si>
    <t>Rocketium</t>
  </si>
  <si>
    <t>Business Development connect , general counsel , hiring, Finance &amp; compliance</t>
  </si>
  <si>
    <t>through portfolio founder</t>
  </si>
  <si>
    <t>Sajith</t>
  </si>
  <si>
    <t>Wynaut Webventures Private Limited</t>
  </si>
  <si>
    <t>Futwork</t>
  </si>
  <si>
    <t xml:space="preserve">Business development connects, Strategy, Finance &amp; Compliance support </t>
  </si>
  <si>
    <t>Kaleidofin Private Limited</t>
  </si>
  <si>
    <t>Chennai</t>
  </si>
  <si>
    <t xml:space="preserve">Business Development connect , general counsel , investor connect, Finance &amp; complaince support, Hiring </t>
  </si>
  <si>
    <t>Stellapps Technologies Private Limited</t>
  </si>
  <si>
    <t>Stellapps</t>
  </si>
  <si>
    <t>AgriTech</t>
  </si>
  <si>
    <t>Series B1B</t>
  </si>
  <si>
    <t>Fund raise connect, hiring ,  secondary acquistion structuring , Business Development connect</t>
  </si>
  <si>
    <t>VC referral</t>
  </si>
  <si>
    <t>Chatpay Commerce Private Limited</t>
  </si>
  <si>
    <t>PitStop &gt;&gt;Autoverse</t>
  </si>
  <si>
    <t>Bridge</t>
  </si>
  <si>
    <t xml:space="preserve">Investor connect, operational finance support , hiring </t>
  </si>
  <si>
    <t>Exfinity, Ventureast, Singularity</t>
  </si>
  <si>
    <t>Iluminar Media Private Limited</t>
  </si>
  <si>
    <t>LBB</t>
  </si>
  <si>
    <t>Commerce &amp; Consumer Brands</t>
  </si>
  <si>
    <t>Helped recruit CTO (even before deal closure), actively led brainstorming strategy and product roadmap sessions, as LBB sharpened focus from just content discovery to real commerce, investor connects for follow on rounds</t>
  </si>
  <si>
    <t>Indian Angel Network,Chirate, Inventus</t>
  </si>
  <si>
    <t>Qyuki Digital Media Private Limited</t>
  </si>
  <si>
    <t>Qyuki</t>
  </si>
  <si>
    <t>Media &amp; Entertainment</t>
  </si>
  <si>
    <t>Infoedge, CISCO Ventures,BD Mauritius, LuckLegend, DI</t>
  </si>
  <si>
    <t>Servicemart Technologies Private Limited</t>
  </si>
  <si>
    <t>iservice</t>
  </si>
  <si>
    <t>Acquired by Servify in a stock-swap deal</t>
  </si>
  <si>
    <t>Strategy, Finance support , Investor connect , M&amp;A, hiring</t>
  </si>
  <si>
    <t>Aaidea Solutions Private Limited</t>
  </si>
  <si>
    <t>Milkbasket</t>
  </si>
  <si>
    <t xml:space="preserve">Acquired by Reliance </t>
  </si>
  <si>
    <t>Unilever,Ultimate Lenovo, Mayfield</t>
  </si>
  <si>
    <t>Zenatix Solutions Private Limited</t>
  </si>
  <si>
    <t>Zenatix</t>
  </si>
  <si>
    <t>DeepTech</t>
  </si>
  <si>
    <t>Acquired by Hero Electronics</t>
  </si>
  <si>
    <t xml:space="preserve">Business development, Investor connect  , hiring </t>
  </si>
  <si>
    <t>Pi Ventures</t>
  </si>
  <si>
    <t>Mockbank Learning Private Limited</t>
  </si>
  <si>
    <t>Mockbank</t>
  </si>
  <si>
    <t>Codelink Technologies Private Limited</t>
  </si>
  <si>
    <t>Blaez</t>
  </si>
  <si>
    <t>Customer Services</t>
  </si>
  <si>
    <t>Written off - residual value received</t>
  </si>
  <si>
    <t>Mech Mocha Game Studios Private Limited</t>
  </si>
  <si>
    <t>MechMocha</t>
  </si>
  <si>
    <t>Exit value</t>
  </si>
  <si>
    <t>Acquired by Flipkart</t>
  </si>
  <si>
    <t xml:space="preserve">Business development connects, strategy, Investor connect, Hiring </t>
  </si>
  <si>
    <t>Accel,Shunwei, Akatsuki</t>
  </si>
  <si>
    <t>Sitara Digital Ventures Private Limited</t>
  </si>
  <si>
    <t>The Wedding Brigade</t>
  </si>
  <si>
    <t>Business development connects, Strategy, Investor connect, Finance &amp; Compliance support , hiring</t>
  </si>
  <si>
    <t>Mountain Pine Capital, LetsVenture Investors</t>
  </si>
  <si>
    <t>Rizort Inc</t>
  </si>
  <si>
    <t>Rizort</t>
  </si>
  <si>
    <t>HR Tech</t>
  </si>
  <si>
    <t>Business Development connect , general counsel , hiring</t>
  </si>
  <si>
    <t>ex-CXO of a start-up where a GPs had invested in personal capacity before founding Blume</t>
  </si>
  <si>
    <t xml:space="preserve">Manufactured.net
</t>
  </si>
  <si>
    <t>Manufactured.net</t>
  </si>
  <si>
    <t>General counsel, Business Development connect</t>
  </si>
  <si>
    <t>Holding pursuant to restructuring of Sourceeasy Inc</t>
  </si>
  <si>
    <t>Tusker Workspace Private Limited</t>
  </si>
  <si>
    <t>Bhive</t>
  </si>
  <si>
    <t>Real Estate</t>
  </si>
  <si>
    <t>Business development connects, Strategy, Investor connect, venture debt</t>
  </si>
  <si>
    <t>Hachi Labs Incorporation</t>
  </si>
  <si>
    <t>LeadCandy</t>
  </si>
  <si>
    <t>General counsel, Business Development connects</t>
  </si>
  <si>
    <t>SminQ India Solutions Private Limited</t>
  </si>
  <si>
    <t>GetMarkk</t>
  </si>
  <si>
    <t>Pune</t>
  </si>
  <si>
    <t xml:space="preserve">Strategy around the pivot to cross-border model, cross-border connects in US to facilitate market entry, business development, general counsel </t>
  </si>
  <si>
    <t>Saama Capita,Beenext</t>
  </si>
  <si>
    <t>Sourcecode Media Private Limited</t>
  </si>
  <si>
    <t>FactorDaily</t>
  </si>
  <si>
    <t>Business Development connect , strategy</t>
  </si>
  <si>
    <t>Accel</t>
  </si>
  <si>
    <t>Opentalk Inc</t>
  </si>
  <si>
    <t>Open Talk</t>
  </si>
  <si>
    <t xml:space="preserve">Finance &amp; Compliance support </t>
  </si>
  <si>
    <t xml:space="preserve">ex-startup founder, referred by a portfolio founder </t>
  </si>
  <si>
    <t>V H Education Services Private Limited</t>
  </si>
  <si>
    <t>Skillenza</t>
  </si>
  <si>
    <t xml:space="preserve">Strategy, Investor connect, Finance &amp; Compliance support , support in  investmemnt round </t>
  </si>
  <si>
    <t>Patchus Communications Private Limited</t>
  </si>
  <si>
    <t>Patch</t>
  </si>
  <si>
    <t>Strategy, Finance &amp; Compliance support , investor connect</t>
  </si>
  <si>
    <t>Volare Technologies Private Limited</t>
  </si>
  <si>
    <t>Intouchapp</t>
  </si>
  <si>
    <t>Strategy, Business Development , Finance &amp; compliance support, hiring</t>
  </si>
  <si>
    <t>Oku Tech Private Limited</t>
  </si>
  <si>
    <t>Fastfox</t>
  </si>
  <si>
    <t>FastFox was acquired by Elara which in turn has been acquired by News Corp</t>
  </si>
  <si>
    <t>General counsel, hiring</t>
  </si>
  <si>
    <t>Inzane Labs Private Limited</t>
  </si>
  <si>
    <t>Oheyo/ Pagalguy</t>
  </si>
  <si>
    <t>Unocoin Technologies Pte Ltd</t>
  </si>
  <si>
    <t>Unocoin</t>
  </si>
  <si>
    <t>General counsel</t>
  </si>
  <si>
    <t>Dream Incubator, Boost VC, Tim Draper</t>
  </si>
  <si>
    <t>Monkeybox Food Technology Private Limited</t>
  </si>
  <si>
    <t>MonkeyBox</t>
  </si>
  <si>
    <t>Consumer Brands</t>
  </si>
  <si>
    <t>Business development connects, Strategy, Investor connect, Compliance support , hiring, venture debt</t>
  </si>
  <si>
    <t>Sourceeasy Inc</t>
  </si>
  <si>
    <t>Sourceeasy</t>
  </si>
  <si>
    <t>USA / Bengaluru</t>
  </si>
  <si>
    <t>Manufacturing SaaS</t>
  </si>
  <si>
    <t>Zillion Technologies Private Limited</t>
  </si>
  <si>
    <t>Zillion</t>
  </si>
  <si>
    <t>Consumer Internet</t>
  </si>
  <si>
    <t>Gyankosh Solutions Private Limited</t>
  </si>
  <si>
    <t>Flipclass</t>
  </si>
  <si>
    <t>Total</t>
  </si>
  <si>
    <t>* Indicates that the team member is no longer associated with the firm</t>
  </si>
  <si>
    <t>Status</t>
  </si>
  <si>
    <t>Valuation used for Mark-to-market</t>
  </si>
  <si>
    <t>Comments</t>
  </si>
  <si>
    <t>x</t>
  </si>
  <si>
    <t>Manash Lifestyle Private Limited</t>
  </si>
  <si>
    <t>Purplle</t>
  </si>
  <si>
    <t>E-Commerce</t>
  </si>
  <si>
    <t>Business Development connects, Investor connect, finance and compliance support, hiring , strategic media arrangement</t>
  </si>
  <si>
    <t>Goldman Sachs, Verlinvest, IvyCap, JSW Ventures,Sequoia, Kedaara Capital, Premji Invest, Paramark Ventures, ADIA, Tenacity</t>
  </si>
  <si>
    <t xml:space="preserve">Angel Network </t>
  </si>
  <si>
    <t>Active</t>
  </si>
  <si>
    <t>At entry, the Fund invested a mix of primary and secondary capital. The secodary component was done at a 20% discount</t>
  </si>
  <si>
    <t>Solvy Tech Solutions Private Limited</t>
  </si>
  <si>
    <t>Zopper</t>
  </si>
  <si>
    <t>NCR</t>
  </si>
  <si>
    <t>Sourcing of follow-on round investors, Finance and compliance support, assistance with M&amp;A transactions , hiring</t>
  </si>
  <si>
    <t>Alumni network of GPs</t>
  </si>
  <si>
    <t>A part of the investment in Zopper is via secondary acquisition of shares, as a discount of 8.26% to the entry valuation.</t>
  </si>
  <si>
    <t>Manak Waste Management Private Limited</t>
  </si>
  <si>
    <t>Cashify</t>
  </si>
  <si>
    <t>Re-commerce</t>
  </si>
  <si>
    <t xml:space="preserve">Investor connect, Board participation, operations support , finance and complaince support </t>
  </si>
  <si>
    <t>NewQuest Capital Partners, Prosus Ventures, Paramark Ventures, Shunwei, Bessemer, CDH, Morningside, AiHuiShou, Olympus Capital</t>
  </si>
  <si>
    <t xml:space="preserve">Personal network of team member </t>
  </si>
  <si>
    <t>A part of the investment in Cashify is via secondary acquisition of shares, as a discount of 12.85% to the entry valuation.</t>
  </si>
  <si>
    <t>Carbon Clean Solutions Limited</t>
  </si>
  <si>
    <t>Carbon Clean Solutions</t>
  </si>
  <si>
    <t>U.K</t>
  </si>
  <si>
    <t>CleanTech</t>
  </si>
  <si>
    <t xml:space="preserve">Business Development connects, structuring of the business as a UK domiciled entity , finance and compliance support, hiring </t>
  </si>
  <si>
    <t>Chevron, Wave Equity Partners, Marubeni, Samsung Ventures, Saudi Aramco Energy Ventures, CEMEX</t>
  </si>
  <si>
    <t>The entire investment in Carbon Clean is via secondary acquisition of shares, as a discount of 15% to the entry valuation.</t>
  </si>
  <si>
    <t>Ultrahuman Healthcare Private Limited</t>
  </si>
  <si>
    <t>Ultrahuman</t>
  </si>
  <si>
    <t>Bangalore</t>
  </si>
  <si>
    <t>Series B3</t>
  </si>
  <si>
    <t>Advisory</t>
  </si>
  <si>
    <t>Nexus, AlphaWave Incubation, Steadview</t>
  </si>
  <si>
    <t>Ex-portfolio founder</t>
  </si>
  <si>
    <t>Sprinto Technology Private Limited</t>
  </si>
  <si>
    <t>Sprinto</t>
  </si>
  <si>
    <t xml:space="preserve">Mentoring, Fund raise and Advisory </t>
  </si>
  <si>
    <t xml:space="preserve">Elevation, Accel </t>
  </si>
  <si>
    <t>Euler Motors Private Limited</t>
  </si>
  <si>
    <t>Euler</t>
  </si>
  <si>
    <t>Mobility-Tech</t>
  </si>
  <si>
    <t>Series C3</t>
  </si>
  <si>
    <t>Finance hiring - AF 
Hiring support - Passion Connect
Finance Control - Constellation 
Fund raise (all aspects) - AF
Business strategy, monitoring and tactical advisory,  mentoring  and team building- Arpit 
Business Development  - Jitesh</t>
  </si>
  <si>
    <t>GIC, Asian Development Bank, British International Investment, Piramal Alternatives, Athera Venture Partners</t>
  </si>
  <si>
    <t>Outbound reach-out from Blume intern</t>
  </si>
  <si>
    <t>Stelling Technologies Private Limited</t>
  </si>
  <si>
    <t>IntrCity</t>
  </si>
  <si>
    <t xml:space="preserve">Board participation, connects to follow-on round investors, support on M&amp;A, structuring of rounds, general counsel, Hiring, Finance &amp; compliance support </t>
  </si>
  <si>
    <t>Mirablis, Helion, Omidyar, NRJN (Nandan Nilekeni)</t>
  </si>
  <si>
    <t>Wattapp Technologies Private Limited</t>
  </si>
  <si>
    <t>ElectricPe</t>
  </si>
  <si>
    <t>-</t>
  </si>
  <si>
    <t>Green Frontier Capital, Micelio Fund, NB Ventures, Anchorage Capital Partners, Supermorpheus, Climate Angels</t>
  </si>
  <si>
    <t>Upgrid Solutions Private Limited</t>
  </si>
  <si>
    <t>BatterySmart</t>
  </si>
  <si>
    <t>British International Investment (BII), Ecosystem Integrity Fund(EIF), Tiger Global, LeapFrog Investments, Panasonic, MUFG, Orios Ventures</t>
  </si>
  <si>
    <t>Oritur Technologies Private Limited</t>
  </si>
  <si>
    <t>Wizcommerce</t>
  </si>
  <si>
    <t>Zipy Inc.</t>
  </si>
  <si>
    <t>Zipy</t>
  </si>
  <si>
    <t>Together Fund, Better Capital, ldCap, FirstCheque</t>
  </si>
  <si>
    <t>Zapscale Inc</t>
  </si>
  <si>
    <t>Zapscale</t>
  </si>
  <si>
    <t>Arka Venture Labs, 100x Entrepreneurs</t>
  </si>
  <si>
    <t>Nabosh Technologies Private Limited</t>
  </si>
  <si>
    <t>Alippo</t>
  </si>
  <si>
    <t>100Unicorns, Inventus</t>
  </si>
  <si>
    <t>Scribble Data Private Limited</t>
  </si>
  <si>
    <t>Scribble Data</t>
  </si>
  <si>
    <t>Sprout Investments, LogX Venture Partners</t>
  </si>
  <si>
    <t xml:space="preserve">Anirvan </t>
  </si>
  <si>
    <t>Aerem Finance Private Limited</t>
  </si>
  <si>
    <t>Aerem</t>
  </si>
  <si>
    <t>Multipl FinTech Solutions Private Limited</t>
  </si>
  <si>
    <t>Multipl</t>
  </si>
  <si>
    <t xml:space="preserve">GrowX Ventures, IIFL, Kotak Securities, MIXI Global </t>
  </si>
  <si>
    <t>Asset10 Software Private Limited</t>
  </si>
  <si>
    <t>BlueCopa</t>
  </si>
  <si>
    <t>Hyderabad</t>
  </si>
  <si>
    <t>Stage Technologies Private Limited</t>
  </si>
  <si>
    <t>Stage</t>
  </si>
  <si>
    <t>Media and Content</t>
  </si>
  <si>
    <t>Vecmocon Technologies Private Limited</t>
  </si>
  <si>
    <t>Vecmocon</t>
  </si>
  <si>
    <t>ResellMe Tech Private Limited</t>
  </si>
  <si>
    <t>Resellme</t>
  </si>
  <si>
    <t>Commerce and Consumer Brands</t>
  </si>
  <si>
    <t>Angels</t>
  </si>
  <si>
    <t>Virohan Private Limited</t>
  </si>
  <si>
    <t>Virohan</t>
  </si>
  <si>
    <t>Pre Series B1</t>
  </si>
  <si>
    <t>Chefkart Hospitality Private Limited</t>
  </si>
  <si>
    <t>Chefkart</t>
  </si>
  <si>
    <t>FoodTech</t>
  </si>
  <si>
    <t>Pre Series A1</t>
  </si>
  <si>
    <t>Pravega, LetsVenture</t>
  </si>
  <si>
    <t>Since99 Apparel Private Limited</t>
  </si>
  <si>
    <t>Freakins</t>
  </si>
  <si>
    <t>Z47, Dexter Capital Advisors</t>
  </si>
  <si>
    <t>Zivy Applications India Private Limited</t>
  </si>
  <si>
    <t>Zivy</t>
  </si>
  <si>
    <t>Everywhere, India Silicon Capital, Mars Shot VC, Pradigm</t>
  </si>
  <si>
    <t>Pico Xpress Private Limited</t>
  </si>
  <si>
    <t>Pico</t>
  </si>
  <si>
    <t>Seed 2</t>
  </si>
  <si>
    <t>Inuka Capital, Veltis Capital</t>
  </si>
  <si>
    <t>Atomicwork Inc</t>
  </si>
  <si>
    <t>Atomicwork</t>
  </si>
  <si>
    <t>Mysa Innovation Private Limited</t>
  </si>
  <si>
    <t>Mysa</t>
  </si>
  <si>
    <t>Flashmonk Private Limited</t>
  </si>
  <si>
    <t>Flash</t>
  </si>
  <si>
    <t>PeerCapital, White Venture Capital</t>
  </si>
  <si>
    <t>DPDZERO Technologies Private Limited</t>
  </si>
  <si>
    <t>DPD Zero</t>
  </si>
  <si>
    <t>Localbuy Technologies Private Limited</t>
  </si>
  <si>
    <t>SuperK</t>
  </si>
  <si>
    <t>Interview Kickstart</t>
  </si>
  <si>
    <t>Opticap Holding India Private Limited</t>
  </si>
  <si>
    <t>Optimo</t>
  </si>
  <si>
    <t>Omnivore</t>
  </si>
  <si>
    <t>Speedup Inc</t>
  </si>
  <si>
    <t>SpeedUp/SiftHub</t>
  </si>
  <si>
    <t xml:space="preserve">Z47, Neon </t>
  </si>
  <si>
    <t>Clientell</t>
  </si>
  <si>
    <t>Chiratae, Artha, Z5 Capital</t>
  </si>
  <si>
    <t>Bambrew Plant Fiber Technology Private Limited</t>
  </si>
  <si>
    <t>Bambrew</t>
  </si>
  <si>
    <t>Blue Ashva Capital, Indus Capital</t>
  </si>
  <si>
    <t>Leaguex Gaming Private Limited</t>
  </si>
  <si>
    <t>Gaming</t>
  </si>
  <si>
    <t>Fitstok Trading Services Private Limited</t>
  </si>
  <si>
    <t>Mobility Tech</t>
  </si>
  <si>
    <t>Goa</t>
  </si>
  <si>
    <t>Healthcare</t>
  </si>
  <si>
    <t>Owl Ventures</t>
  </si>
  <si>
    <t>Karthik + Sajith</t>
  </si>
  <si>
    <t xml:space="preserve">Fashor Lifestyle Private Limited </t>
  </si>
  <si>
    <t>Fashor</t>
  </si>
  <si>
    <t>Sprout Venture Partners, Inflection Point Ventures, Venture Catalysts</t>
  </si>
  <si>
    <t>Network Program Investments</t>
  </si>
  <si>
    <t>Blume Founders Fund</t>
  </si>
  <si>
    <t>BFF 2.0</t>
  </si>
  <si>
    <t>Blume Super Scout</t>
  </si>
  <si>
    <t>BSS</t>
  </si>
  <si>
    <t>Valuation used for MTM</t>
  </si>
  <si>
    <t>Manash Lifestyle Private Ltd</t>
  </si>
  <si>
    <t xml:space="preserve">Purplle </t>
  </si>
  <si>
    <t>Series D</t>
  </si>
  <si>
    <t>Fintech Solutions Private Limited</t>
  </si>
  <si>
    <t>Turtlemint</t>
  </si>
  <si>
    <t>Series D2</t>
  </si>
  <si>
    <t xml:space="preserve">Investor connect, Finance and compliance support, hiring </t>
  </si>
  <si>
    <t>Sequoia, Nexus, AMFAM, Mass Mutual, Jungle Ventures, GGV, SIG, Amansa Capital, Vitruvian, Marshall Wace, Jungle Ventures</t>
  </si>
  <si>
    <t>Exotel Techcom Pvt. Ltd</t>
  </si>
  <si>
    <t>Exotel</t>
  </si>
  <si>
    <t>Board participation, Business Development connects, Hiring</t>
  </si>
  <si>
    <t>A91 Partners, IIFL, Sistema, CX Partners, Steadview</t>
  </si>
  <si>
    <t>Baldor Technologies Private Ltd</t>
  </si>
  <si>
    <t xml:space="preserve">Idfy </t>
  </si>
  <si>
    <t>Business Development connects, Investor connect, hiring</t>
  </si>
  <si>
    <t>NEA, Transunion, MegaDelta, Analog, Elev8, KB Investment, Tenacity</t>
  </si>
  <si>
    <t>co-investor network - angel</t>
  </si>
  <si>
    <t>Webklipper Technologies Pvt. Ltd</t>
  </si>
  <si>
    <t>Webengage</t>
  </si>
  <si>
    <t>Pre Series B</t>
  </si>
  <si>
    <t xml:space="preserve">Board participation, Business Development connects, evaluating collaborations and acqui-hires  from time to time, Hiring, Finance &amp; compliance support </t>
  </si>
  <si>
    <t>SWC, Singularity, IndiaQuotient</t>
  </si>
  <si>
    <t>Referral by co-investor</t>
  </si>
  <si>
    <t>GreyOrange International Inc</t>
  </si>
  <si>
    <t xml:space="preserve">GreyOrange Robotics </t>
  </si>
  <si>
    <t xml:space="preserve">Business Development connects, Investor connect,  Finance &amp; compliance support </t>
  </si>
  <si>
    <t>Mithril Capital, Pavilion Capital, Binny Bansal, Antehelion Capital, H&amp;M</t>
  </si>
  <si>
    <t>Alumni network of GPs ( BITS alum connected through Sanjay)</t>
  </si>
  <si>
    <t>Procol Tech Private Limited</t>
  </si>
  <si>
    <t>Procol</t>
  </si>
  <si>
    <t>B2B Marketplace</t>
  </si>
  <si>
    <t xml:space="preserve">Go-to-Market and business model - led by KR, SP, AF
Fund -raise
SP - articulation of strategy, Helping founders reset balance better between product and distribution / sales. Intros to potential employees, consultants
Business Development  - Jitesh </t>
  </si>
  <si>
    <t>GMO Venture Partners, Anchorage Capital, Surge(Peak XV Partners), Beenext, Rainmatter</t>
  </si>
  <si>
    <t xml:space="preserve">Connected by Mahesh Kabra ( advisor) </t>
  </si>
  <si>
    <t>Bunch Microtechnologies Private Limited</t>
  </si>
  <si>
    <t>Classplus</t>
  </si>
  <si>
    <t xml:space="preserve"> Mentoring, coaching marketplace team to reengineer themselves + rework strategy to grow faster, recruitment + interviews of senior business + marketing CXOs - SP, 
Fund raise - Karthik
Finance hiring - AF 
Hiring support - Passion Connect
Finance Control - Constellation </t>
  </si>
  <si>
    <t xml:space="preserve">Tiger Global, Alpha Wave Incubation, Surge (Peak XV Partners), RTP Global, Strive </t>
  </si>
  <si>
    <t xml:space="preserve">Outbound </t>
  </si>
  <si>
    <t>Ono Labs Private Limited</t>
  </si>
  <si>
    <t>Mastree</t>
  </si>
  <si>
    <t>Acquired by Unacademy</t>
  </si>
  <si>
    <t>Product + business strategy coaching, connecting to brand consultant, intros to partners for distribution - SP 
Connect with Unacademy - KR
Hiring - Passion Connect</t>
  </si>
  <si>
    <t>NA.</t>
  </si>
  <si>
    <t>Blume Alumni  ( ex-analyst)</t>
  </si>
  <si>
    <t>Exited</t>
  </si>
  <si>
    <t>Greenizon Agritech Consultancy Private Limited</t>
  </si>
  <si>
    <t>Jai Kisan</t>
  </si>
  <si>
    <t xml:space="preserve">Mentoring &amp; guidance - KR 
Fund raise - AF
Hiring - AF, Passion Connect
Business structuring, Finance Control  - Constellation </t>
  </si>
  <si>
    <t xml:space="preserve">GMO Venture Partners, Yara Growth Ventures, DG Daiwa Ventures, NabVentures, Arkam </t>
  </si>
  <si>
    <t>Lambdatest Inc</t>
  </si>
  <si>
    <t>NCR / USA</t>
  </si>
  <si>
    <t>Go-to-Market - SN + AC
Fund raise - SN + KR</t>
  </si>
  <si>
    <t>Eco-system referral ( Ramakant Sharma - Founder - Livspace)</t>
  </si>
  <si>
    <t>PM Labs, Inc.</t>
  </si>
  <si>
    <t>Agara</t>
  </si>
  <si>
    <t>Bengaluru / USA</t>
  </si>
  <si>
    <t>Pre-Series A</t>
  </si>
  <si>
    <t>Acquired by Coinbase</t>
  </si>
  <si>
    <t>Business Development  - Jitesh 
Fund raise - SN
Corporate matters - AF</t>
  </si>
  <si>
    <t>UTEC, RTP Global</t>
  </si>
  <si>
    <t>Eco-system referral ( Pankaj Gupta, Google)</t>
  </si>
  <si>
    <t>Uolo EdTech Private Limited</t>
  </si>
  <si>
    <t>Uolo</t>
  </si>
  <si>
    <t>Connecting them to potential content partners, market intelligence, and helping founder think through product roadmap  - SP
Advisory - KR</t>
  </si>
  <si>
    <t>Mentoring, Fund raise and Advisory - KR + SN</t>
  </si>
  <si>
    <t>Weblength Infonet Private Limited</t>
  </si>
  <si>
    <t>SuperSet</t>
  </si>
  <si>
    <t>Acquired by Great Learning</t>
  </si>
  <si>
    <t>SP - founder mentoring, helping the founders think through fundraising narratives, intros to customers, helping the founder think through sales org structuring. hiring reference checks</t>
  </si>
  <si>
    <t>Inbound</t>
  </si>
  <si>
    <t>Bureau Inc.</t>
  </si>
  <si>
    <t xml:space="preserve">Bureau </t>
  </si>
  <si>
    <t>Advisory - KR</t>
  </si>
  <si>
    <t>Medfin India Private Limited</t>
  </si>
  <si>
    <t>Medfin</t>
  </si>
  <si>
    <t>Business development relationships - Jitesh
Fund raise (all aspects) - Capital Markets Team
Finance Management - Ashish
Mentoring and team building  - Arpit
Business strategy, monitoring and tactical advisory - Arpit</t>
  </si>
  <si>
    <t xml:space="preserve">Axilor, HealthX Capital, Dream Incubator </t>
  </si>
  <si>
    <t xml:space="preserve">via  banker </t>
  </si>
  <si>
    <t>Vasudhaiva Kutumbakam Group Private Limited</t>
  </si>
  <si>
    <t>Leverage</t>
  </si>
  <si>
    <t>Series C1</t>
  </si>
  <si>
    <t>Helping the founder to rethink of the business from a broader lens, reworking how they measure and track business goals via cohort approach, helping the founder devise and craft a compelling fundraising narrative - SP
Finance Control - Constellation 
Fund raise ( all aspects) - KR
Debt raise- AF</t>
  </si>
  <si>
    <t xml:space="preserve">Educational Testing Service (ETS), DSG Consumer Partners, Kaizenvest, Tomorrow Capital, DSP Invest, Artha India Ventures, NB Ventures </t>
  </si>
  <si>
    <t xml:space="preserve">Founder was connected from a previous angel invetsment </t>
  </si>
  <si>
    <t xml:space="preserve">Octopolis Technologies Private Limited </t>
  </si>
  <si>
    <t>ApnaKlub</t>
  </si>
  <si>
    <t>Tiger Global, Surge (Peak XV Partners), Whiteboard Capital, Truescale, Flourish Ventures</t>
  </si>
  <si>
    <t>Blume network</t>
  </si>
  <si>
    <t>Pilani Experts Technology Labs Private Limited</t>
  </si>
  <si>
    <t>Tapchief</t>
  </si>
  <si>
    <t>Mentoring, fund raise, exit  - SN + AF
Business Development  - Jitesh
Advisory - KR</t>
  </si>
  <si>
    <t>One97</t>
  </si>
  <si>
    <t>Tartan Aerial Sense Tech Private Limited</t>
  </si>
  <si>
    <t>Niqo Robotics</t>
  </si>
  <si>
    <t>Mentoring and Advisory - KR
Cross-border structuring - AF</t>
  </si>
  <si>
    <t>Omnivore, Beenext, FMC Ventures, Brida Innovation Ventures</t>
  </si>
  <si>
    <t>Founder network ( connected by  Stellapps founder)</t>
  </si>
  <si>
    <t>Pixxel Inc</t>
  </si>
  <si>
    <t>Pixxel</t>
  </si>
  <si>
    <t>SpaceTech</t>
  </si>
  <si>
    <t>Go-to-Market - SN + AC
Finance control, Finance hiring  - Constellation</t>
  </si>
  <si>
    <t>HealthAssure Private Limited</t>
  </si>
  <si>
    <t>HealthAssure</t>
  </si>
  <si>
    <t>Blue Ashva Capital, Leo Capital</t>
  </si>
  <si>
    <t>Sanjay's personal network</t>
  </si>
  <si>
    <t>Arka Venture Labs Fund Partners LLC</t>
  </si>
  <si>
    <t>Arka</t>
  </si>
  <si>
    <t>Accelerator</t>
  </si>
  <si>
    <t>Sacaling up, Go-to-Market - Radhesh 
Fund raise - Radhesh, SN
Portfolio construction and structuring - KR + AF</t>
  </si>
  <si>
    <t>Emergent Ventures , Benhamou Global Ventures</t>
  </si>
  <si>
    <t>NA - concept was framed by Blume  - underlying investments sourced through networks of Blume, Radhesh, Emergent and BGV</t>
  </si>
  <si>
    <t>Ethereal Machines Private Limited</t>
  </si>
  <si>
    <t>Ethereal</t>
  </si>
  <si>
    <t>Mentoring - Arpit
Finance control, compliances support - Constellation</t>
  </si>
  <si>
    <t xml:space="preserve">Peak XV Partners (Surge), Steadview </t>
  </si>
  <si>
    <t>Events /Outbound</t>
  </si>
  <si>
    <t>Qikwork Services Private Limited</t>
  </si>
  <si>
    <t>Smartstaff</t>
  </si>
  <si>
    <t>HR-Tech</t>
  </si>
  <si>
    <t>Series A2</t>
  </si>
  <si>
    <t>SP - product and business strategy
KR - Mentoring</t>
  </si>
  <si>
    <t>Nexus Ventures, Arkam Ventures, Alteria Capital</t>
  </si>
  <si>
    <t>ATI Motors Inc</t>
  </si>
  <si>
    <t>ATI Motors</t>
  </si>
  <si>
    <t>Pre- Series A</t>
  </si>
  <si>
    <t>True Ventures, Athera Venture Partners, Exfinity Ventures, MFV Partners</t>
  </si>
  <si>
    <t xml:space="preserve">Blume Founders Fund </t>
  </si>
  <si>
    <t>BFF</t>
  </si>
  <si>
    <t>Zolve Innovations Inc</t>
  </si>
  <si>
    <t>Zolve</t>
  </si>
  <si>
    <t>Technicolour Dream Pants Private Limited</t>
  </si>
  <si>
    <t>Stage3</t>
  </si>
  <si>
    <t>E-commerce</t>
  </si>
  <si>
    <t>Provision -100%</t>
  </si>
  <si>
    <t>Mentoring, Fund raise - KR 
Product roadmap feedback - SP</t>
  </si>
  <si>
    <t>Provisioned</t>
  </si>
  <si>
    <t>Taaraka Technologies Private Limited</t>
  </si>
  <si>
    <t>Taaraka</t>
  </si>
  <si>
    <t>ConsumerTech</t>
  </si>
  <si>
    <t>Mentoring, Fund raise - AF 
Product roadmap feedback - KS, Radhika</t>
  </si>
  <si>
    <t>Founder was connected through his earlier stint from previous stint with TVF</t>
  </si>
  <si>
    <t>Tinkerix Techonologies Private Limited</t>
  </si>
  <si>
    <t>Cellfish</t>
  </si>
  <si>
    <t>Mobile Telephony</t>
  </si>
  <si>
    <t>Mentoring and Advisory - KR</t>
  </si>
  <si>
    <t>Via Angel invetsor on cap table</t>
  </si>
  <si>
    <t>RayIoT Solutions Private Limited</t>
  </si>
  <si>
    <t>RayIOT</t>
  </si>
  <si>
    <t>IoT</t>
  </si>
  <si>
    <t>Hiring support - Passion Connect
Business strategy, monitoring and tactical advisory - Arpit</t>
  </si>
  <si>
    <t>Inbound from the founder</t>
  </si>
  <si>
    <t>Written Off</t>
  </si>
  <si>
    <t>Secondary - Prior to Series B</t>
  </si>
  <si>
    <t>Tiger Global, Gunosy, Insight, Advent International</t>
  </si>
  <si>
    <t>Series D1</t>
  </si>
  <si>
    <t>Iron Pillar, Beenext, Singularity Investments</t>
  </si>
  <si>
    <t>Chiratae Ventures, Bertelsmann India Investments</t>
  </si>
  <si>
    <t>HealthifyMe</t>
  </si>
  <si>
    <t xml:space="preserve">HealthTech </t>
  </si>
  <si>
    <t xml:space="preserve">Chiratae Ventures, Khosla Ventures, Sistema Asia Fund, HealthQuad, LeapFrog Investments, Athera Venture Partners </t>
  </si>
  <si>
    <t>GreyOrange Robotics International Inc</t>
  </si>
  <si>
    <t>GreyOrange</t>
  </si>
  <si>
    <t>Stelling Technologies Limited</t>
  </si>
  <si>
    <t>General Atlantic, Facebook, Peak XV Partners, Nexus, Elevation Capital, Steadview Capital, Tiger Global, Dragoneer,SoftBank</t>
  </si>
  <si>
    <t>Aspada, Google Asia, LightBox, Reliance Retail, LGT Lightstone, LightRock</t>
  </si>
  <si>
    <t>Acquired by Reliance Retail</t>
  </si>
  <si>
    <t>Series C2</t>
  </si>
  <si>
    <t>Athera Venture Partners, UTEC, Sony Innovation Fund, Omron</t>
  </si>
  <si>
    <t>Smallcase</t>
  </si>
  <si>
    <t>Sekhment Technologies Private Limited</t>
  </si>
  <si>
    <t>Healthquad Fund, Dream Incubator, Filter Capital, Edelweiss Capital, Cornerstone Ventures</t>
  </si>
  <si>
    <t xml:space="preserve">Blume Ventures Investment Profile </t>
  </si>
  <si>
    <t xml:space="preserve">Updated as of: </t>
  </si>
  <si>
    <t>A.</t>
  </si>
  <si>
    <t>Fund I</t>
  </si>
  <si>
    <t>B.</t>
  </si>
  <si>
    <t>Fund IA</t>
  </si>
  <si>
    <t>C.</t>
  </si>
  <si>
    <t>Fund II</t>
  </si>
  <si>
    <t>D.</t>
  </si>
  <si>
    <t>Fund IIA</t>
  </si>
  <si>
    <t>E.</t>
  </si>
  <si>
    <t xml:space="preserve">Fund IIB </t>
  </si>
  <si>
    <t>F.</t>
  </si>
  <si>
    <t>Fund III</t>
  </si>
  <si>
    <t>G.</t>
  </si>
  <si>
    <t>Fund 1X</t>
  </si>
  <si>
    <t>H.</t>
  </si>
  <si>
    <t>Fund IV</t>
  </si>
  <si>
    <t>I.</t>
  </si>
  <si>
    <t>Fund 1Y</t>
  </si>
  <si>
    <t xml:space="preserve">USD / INR </t>
  </si>
  <si>
    <t xml:space="preserve">Rate as on quarter end </t>
  </si>
  <si>
    <t>30th Jun'24</t>
  </si>
  <si>
    <t>FX Rate as on 28th June 2024</t>
  </si>
  <si>
    <t>N.A</t>
  </si>
  <si>
    <t>AF+KR</t>
  </si>
  <si>
    <t>scout</t>
  </si>
  <si>
    <t xml:space="preserve">Adit* </t>
  </si>
  <si>
    <t>Nexus, Sequoia, Matrix</t>
  </si>
  <si>
    <t>Kaleidofin</t>
  </si>
  <si>
    <t>Exfinity, Beenext, Falcon Edge, Tiger Global</t>
  </si>
  <si>
    <t>Magna International, Bajaj Auto, Akatsuki, 3one4</t>
  </si>
  <si>
    <t>Lightrock India, HealthQuad, Flipkart, W Health Ventures, Orios Venture Partners , Parkview, Leo Capital</t>
  </si>
  <si>
    <t>Stake
 (At Entry)</t>
  </si>
  <si>
    <t>Stake
 (Current)</t>
  </si>
  <si>
    <t>E2E Networks Private Limited</t>
  </si>
  <si>
    <t>E2E Networks</t>
  </si>
  <si>
    <t>Dataweave Software Private Ltd</t>
  </si>
  <si>
    <t>Dataweave</t>
  </si>
  <si>
    <t>ZipDial Mobile Solution Private Limited</t>
  </si>
  <si>
    <t>ZipDial</t>
  </si>
  <si>
    <t>Greytip Software Private Ltd</t>
  </si>
  <si>
    <t>Greytip</t>
  </si>
  <si>
    <t>Nowfloats Technologies Private Ltd</t>
  </si>
  <si>
    <t>Nowfloats</t>
  </si>
  <si>
    <t>Digissential Enterprises Private Limited</t>
  </si>
  <si>
    <t>Bill Bachao</t>
  </si>
  <si>
    <t>Threadsol Software Private Ltd</t>
  </si>
  <si>
    <t>Threadsol</t>
  </si>
  <si>
    <t>Solvy Tech Solutions Pvt. Ltd</t>
  </si>
  <si>
    <t>WAH Holidays Private Ltd</t>
  </si>
  <si>
    <t>WeAreHolidays</t>
  </si>
  <si>
    <t>21Trends Private Ltd</t>
  </si>
  <si>
    <t>Shantani Proteome Analytics Pvt. Ltd</t>
  </si>
  <si>
    <t>Shantani</t>
  </si>
  <si>
    <t>Covacsis Technologies Private Ltd</t>
  </si>
  <si>
    <t>Covacsis</t>
  </si>
  <si>
    <t>Dataemo Technologies Pvt Ltd / Belong Pte Ltd</t>
  </si>
  <si>
    <t>Analytics</t>
  </si>
  <si>
    <t>Life Sciences</t>
  </si>
  <si>
    <t>HRTech</t>
  </si>
  <si>
    <t>Series A - Secondary</t>
  </si>
  <si>
    <t>Provisioned - 100%</t>
  </si>
  <si>
    <t>Sale to Fund 1X</t>
  </si>
  <si>
    <t>Acquisition by Twitter</t>
  </si>
  <si>
    <t>Acquisition by Reliance Jio</t>
  </si>
  <si>
    <t>Buyback</t>
  </si>
  <si>
    <t>Acquisition by Coates Plc</t>
  </si>
  <si>
    <t>Sale to Fund 1Y</t>
  </si>
  <si>
    <t>Venture debt, Support with IPO process, investor connects for IPO, business development connects , hiring</t>
  </si>
  <si>
    <t>Business Development connects, Investor connect, Structuring of business as a US domiciled entity, finance and compliance support, hiring of CFO</t>
  </si>
  <si>
    <t>Introduction to follow-on round investors, Board participation</t>
  </si>
  <si>
    <t xml:space="preserve">support for venture debt, structuring of follow-on round, Business Development connects , Hiring, Finance &amp; compliance support </t>
  </si>
  <si>
    <t xml:space="preserve">Business Development connects, Investor connect, finance and compliance, hiring </t>
  </si>
  <si>
    <t xml:space="preserve">Board participation, exit structuring </t>
  </si>
  <si>
    <t>Business Development connects, Investor connect, Structuring of business as a SG domiciled entity, finance and compliance, Hiring , structuring of exit transaction</t>
  </si>
  <si>
    <t>Business Development connects, Finance and compliance support, Board participation, hiring, structuring of follow-on rounds</t>
  </si>
  <si>
    <t xml:space="preserve">Facilitating collaboration with strategic investor, strategic media arrangement,  Finance &amp; compliance support </t>
  </si>
  <si>
    <t xml:space="preserve">Finance &amp; compliance support </t>
  </si>
  <si>
    <t>Finance and compliance support, Business development , debt</t>
  </si>
  <si>
    <t xml:space="preserve">Business developement , Board participation, Hiring </t>
  </si>
  <si>
    <t>Sequoia, Nexus, AMFAM, Mass Mutual, Jungle Ventures, GGV, SIG</t>
  </si>
  <si>
    <t>Mirablis Investment Trust, Helion, Omidyar, NRJN (Nandan Nilekeni)</t>
  </si>
  <si>
    <t>Sequoia, Matrix</t>
  </si>
  <si>
    <t>Ecosystem referral</t>
  </si>
  <si>
    <t>Founder was connected to the GPs through his earlier stint with Vodafone</t>
  </si>
  <si>
    <t>Founder referral</t>
  </si>
  <si>
    <t>Founder was an ex-team member of a portfolio company</t>
  </si>
  <si>
    <t>Goldman Sachs, Verlinvest, IvyCap, JSW Ventures</t>
  </si>
  <si>
    <t>Shunwei, Bessemer, CDH, Morningside, AiHuiShou, Olympus Capital</t>
  </si>
  <si>
    <t>WaterBridge, WGG, Freakout, Recruit</t>
  </si>
  <si>
    <t>DSG, 500 Startups, Jungle Ventures, Times Internet, Unilazer</t>
  </si>
  <si>
    <t>NEA, Transunion, MegaDelta</t>
  </si>
  <si>
    <t>Omidyar, IIFL, Iron Pillar</t>
  </si>
  <si>
    <t>Catamaran</t>
  </si>
  <si>
    <t>Nirvana, Tiger Global</t>
  </si>
  <si>
    <t>Matrix, Mumbai Angels</t>
  </si>
  <si>
    <t>India Innovation Fund</t>
  </si>
  <si>
    <t>Belong</t>
  </si>
  <si>
    <t>Voxpop</t>
  </si>
  <si>
    <t>Partial sale to Fund 1X</t>
  </si>
  <si>
    <t>Partial Exit</t>
  </si>
  <si>
    <t>GreyOrange Robotics</t>
  </si>
  <si>
    <t>Carbon Clean Solutions Pvt Ltd.</t>
  </si>
  <si>
    <t>Serendipity Infolabs Private Ltd</t>
  </si>
  <si>
    <t xml:space="preserve">Taxiforsure                            </t>
  </si>
  <si>
    <t>ANI Technologies Limited</t>
  </si>
  <si>
    <t>Ola Cabs</t>
  </si>
  <si>
    <t>Instamojo Inc</t>
  </si>
  <si>
    <t>Instamojo</t>
  </si>
  <si>
    <t>Social Audience Private Ltd</t>
  </si>
  <si>
    <t>TookiTaki</t>
  </si>
  <si>
    <t>Induslynk Training Services Pvt. Ltd.</t>
  </si>
  <si>
    <t>Mettl</t>
  </si>
  <si>
    <t>Zip Dial</t>
  </si>
  <si>
    <t>Adepto Solutions Private Ltd</t>
  </si>
  <si>
    <t xml:space="preserve">Adepto                              </t>
  </si>
  <si>
    <t>Kuliza Technologies Pvt. Ltd</t>
  </si>
  <si>
    <t>Kuliza</t>
  </si>
  <si>
    <t>Promptec Renewable Energy Solutions Private Limited</t>
  </si>
  <si>
    <t>Prompt Renewables</t>
  </si>
  <si>
    <t>Turtle Yogi Technologies Private Ltd</t>
  </si>
  <si>
    <t>1Click (Turtleyogi)</t>
  </si>
  <si>
    <t>Digital media</t>
  </si>
  <si>
    <t>Newgen Internet Networks Pvt. Ltd</t>
  </si>
  <si>
    <t>Glamrs</t>
  </si>
  <si>
    <t>Digital Media</t>
  </si>
  <si>
    <t>Spunk Media Private Ltd</t>
  </si>
  <si>
    <t>Qubecell</t>
  </si>
  <si>
    <t>Framebench Technologies Pvt. Ltd.</t>
  </si>
  <si>
    <t>Framebench</t>
  </si>
  <si>
    <t>Printo Document Services Private Ltd</t>
  </si>
  <si>
    <t>Printo</t>
  </si>
  <si>
    <t>HMS Infotech Private Ltd /Hotelogix Pte Limited</t>
  </si>
  <si>
    <t>Hotelogix</t>
  </si>
  <si>
    <t>Nivaata Systems Private Ltd</t>
  </si>
  <si>
    <t>Nivaata</t>
  </si>
  <si>
    <t>Chaitanya India Fin Credit Private Limited</t>
  </si>
  <si>
    <t>Chaitanya India</t>
  </si>
  <si>
    <t>Valgen Infosystem Pvt Ltd.</t>
  </si>
  <si>
    <t>Valgen Infosystems</t>
  </si>
  <si>
    <t>Karmic Labs Pvt.Ltd.</t>
  </si>
  <si>
    <t>Karmic</t>
  </si>
  <si>
    <t>Rolocule Games Pvt. Ltd</t>
  </si>
  <si>
    <t>Rolocule</t>
  </si>
  <si>
    <t>RupeeStreet Financial Services Pvt Ltd.</t>
  </si>
  <si>
    <t>Moneysights</t>
  </si>
  <si>
    <t>Eki Communications Pvt Ltd</t>
  </si>
  <si>
    <t>Survelytics</t>
  </si>
  <si>
    <t>Retail Quotient Research Pvt.Ltd</t>
  </si>
  <si>
    <t>RedQuanta</t>
  </si>
  <si>
    <t>VoxPop</t>
  </si>
  <si>
    <t>VoxApp Pvt.Ltd.</t>
  </si>
  <si>
    <t>Vox App</t>
  </si>
  <si>
    <t>Paletly Designs Private Limited</t>
  </si>
  <si>
    <t>Paletly</t>
  </si>
  <si>
    <t>Sporting Mindz</t>
  </si>
  <si>
    <t>SportsNest Retail India Private Limited</t>
  </si>
  <si>
    <t>SportsNest</t>
  </si>
  <si>
    <t xml:space="preserve">PlaygroundOnline </t>
  </si>
  <si>
    <t>PlaygroundOnline</t>
  </si>
  <si>
    <t>Fun Holidays &amp; Vacations Pvt.Ltd.</t>
  </si>
  <si>
    <t>Polama</t>
  </si>
  <si>
    <t>Emotion Squard Technologies Private Ltd</t>
  </si>
  <si>
    <t>Emo2</t>
  </si>
  <si>
    <t>Audio compass (India) Private Ltd</t>
  </si>
  <si>
    <t>AudioCompass</t>
  </si>
  <si>
    <t>Touchfone Technology (I) Pvt.Ltd.</t>
  </si>
  <si>
    <t>Touchfone</t>
  </si>
  <si>
    <t xml:space="preserve">ScoopWhoop Media Private Ltd </t>
  </si>
  <si>
    <t>ScoopWhoop</t>
  </si>
  <si>
    <t>Sparsha Learning Technologies Pvt.Ltd.</t>
  </si>
  <si>
    <t>Sparsha</t>
  </si>
  <si>
    <t>Style Kitchen Enterprises Pvt.Ltd.</t>
  </si>
  <si>
    <t xml:space="preserve">Missisippy </t>
  </si>
  <si>
    <t>Insieve</t>
  </si>
  <si>
    <t>IStage Entertainment Private Limited</t>
  </si>
  <si>
    <t>Indian Stage</t>
  </si>
  <si>
    <t>Aurality Technologies Private Limited</t>
  </si>
  <si>
    <t xml:space="preserve">Giftery                                     </t>
  </si>
  <si>
    <t>GCI Network Pvt. Ltd</t>
  </si>
  <si>
    <t>GiftCardsIndia</t>
  </si>
  <si>
    <t>Madrat Games Private Ltd</t>
  </si>
  <si>
    <t>Madrat Games</t>
  </si>
  <si>
    <t>Spaces23 Software Labs Private Ltd.</t>
  </si>
  <si>
    <t>23Spaces</t>
  </si>
  <si>
    <t>Careervita India Private Ltd</t>
  </si>
  <si>
    <t>Careervita</t>
  </si>
  <si>
    <t>Gharpay Money Transfer Services Pvt.Ltd.</t>
  </si>
  <si>
    <t>Clink</t>
  </si>
  <si>
    <t>Remma Consulting Services Private Ltd.</t>
  </si>
  <si>
    <t>Remma</t>
  </si>
  <si>
    <t>United Mobile Solutions Private Ltd</t>
  </si>
  <si>
    <t>UMA</t>
  </si>
  <si>
    <t>Cherish Maternity</t>
  </si>
  <si>
    <t>Systemantics India Private Ltd</t>
  </si>
  <si>
    <t>Systemantics</t>
  </si>
  <si>
    <t>Hashcube Technologies Pvt. Ltd</t>
  </si>
  <si>
    <t>Hashcube</t>
  </si>
  <si>
    <t>Snapbizz Cloudtech Pte Ltd</t>
  </si>
  <si>
    <t>Snapbizz</t>
  </si>
  <si>
    <t>Shephertz Technologies Pvt.Ltd</t>
  </si>
  <si>
    <t>Shephertz</t>
  </si>
  <si>
    <t>Business Services</t>
  </si>
  <si>
    <t>Ace Seafoods Bazar Private Ltd</t>
  </si>
  <si>
    <t xml:space="preserve">PescaFresh </t>
  </si>
  <si>
    <t>Socialblood Inc</t>
  </si>
  <si>
    <t>Socialblood</t>
  </si>
  <si>
    <t>Mobile Motion Technologies Pvt Ltd</t>
  </si>
  <si>
    <t>Mobstac</t>
  </si>
  <si>
    <t>Infollion Research Services Private Ltd</t>
  </si>
  <si>
    <t>Infollion</t>
  </si>
  <si>
    <t>Signure Technologies Private Ltd</t>
  </si>
  <si>
    <t>Explara</t>
  </si>
  <si>
    <t>OTH Online Pvt. Ltd.</t>
  </si>
  <si>
    <t xml:space="preserve">Accio                                 </t>
  </si>
  <si>
    <t>Level10 Enetrtainment Pvt. Ltd.</t>
  </si>
  <si>
    <t>Level10</t>
  </si>
  <si>
    <t>Appcity Commerce Pvt.Ltd.</t>
  </si>
  <si>
    <t xml:space="preserve">Unamia </t>
  </si>
  <si>
    <t>BatchCar</t>
  </si>
  <si>
    <t>Occasion Commerce Private Ltd</t>
  </si>
  <si>
    <t>Skoolshop</t>
  </si>
  <si>
    <t>Tripvillas Pte Ltd</t>
  </si>
  <si>
    <t>Tripvillas</t>
  </si>
  <si>
    <t>Homeveda Media Labs Private Ltd</t>
  </si>
  <si>
    <t>Homeveda</t>
  </si>
  <si>
    <t>Snaplion Global Ltd</t>
  </si>
  <si>
    <t>Acquisition by Ola</t>
  </si>
  <si>
    <t>Secondary Sale to Temasek</t>
  </si>
  <si>
    <t>Acquisition by Mercer</t>
  </si>
  <si>
    <t>Acquisition by Havells</t>
  </si>
  <si>
    <t>Acquisition by Freshworks</t>
  </si>
  <si>
    <t>Acquisition by Purplle</t>
  </si>
  <si>
    <t>Acquisition by Boku</t>
  </si>
  <si>
    <t xml:space="preserve">Buyback </t>
  </si>
  <si>
    <t>Acqusition by CloudCherry</t>
  </si>
  <si>
    <t>Structuring of follow-on rounds and exit transactions, Board participation</t>
  </si>
  <si>
    <t xml:space="preserve">Business Development connects , Hiring, Finance &amp; compliance support </t>
  </si>
  <si>
    <t xml:space="preserve">Hiring, Finance &amp; compliance support </t>
  </si>
  <si>
    <t>Follow-on investsor connect, finance and compliance support , business development connects, hiring</t>
  </si>
  <si>
    <t xml:space="preserve">Facilitating M&amp;A, Finance and compliance support, business development connects </t>
  </si>
  <si>
    <t>Business Development connects, facilitating / helping in M&amp;A, general counsel</t>
  </si>
  <si>
    <t>Finance and compliance, business development , connect with strategic collaborator , structuring of exit transaction</t>
  </si>
  <si>
    <t xml:space="preserve">Business Development connects, Investor connect,  finance and compliance, Hiring </t>
  </si>
  <si>
    <t xml:space="preserve">Sourcing of follow-on round investors, Finance and compliance support, assistance with M&amp;A transactions </t>
  </si>
  <si>
    <t>Board participation, Business Development connects, evaluating collaborations and acqui-hires  from time to time</t>
  </si>
  <si>
    <t xml:space="preserve">Board participation, cross-border structuring support , Finance &amp; compliance support </t>
  </si>
  <si>
    <t>Strategy, Business Development connects, Hiring including sourcing of CXO</t>
  </si>
  <si>
    <t xml:space="preserve">Board participation, Finance and compliance support, facilitating co-founder split amicably </t>
  </si>
  <si>
    <t>Introduction to follow-on round investors</t>
  </si>
  <si>
    <t xml:space="preserve">Compliance support </t>
  </si>
  <si>
    <t>Business Development connects</t>
  </si>
  <si>
    <t xml:space="preserve">General counsel , Finance &amp; compliance support </t>
  </si>
  <si>
    <t xml:space="preserve">Hiring, structuring M&amp;A, connects to follow-on round  investors, Board participation, finance and compliance </t>
  </si>
  <si>
    <t xml:space="preserve">Hiring, structuring M&amp;A transaction, connects to follow-on round investors, Board participation, finance and compliance support </t>
  </si>
  <si>
    <t>Hiring, structuring M&amp;A, connects to follow-on round  investors, Board participation, finance and compliance support</t>
  </si>
  <si>
    <t>Business development connects</t>
  </si>
  <si>
    <t xml:space="preserve">Introduction to  follow-on round investors, Board participation, Finance &amp; compliance support </t>
  </si>
  <si>
    <t>Business Development connects, Finance and compliance support , Board participation</t>
  </si>
  <si>
    <t>Board participation, Finance and compliance support, support for M&amp;A</t>
  </si>
  <si>
    <t>Help with M&amp;A, Board participation</t>
  </si>
  <si>
    <t>Board participation</t>
  </si>
  <si>
    <t xml:space="preserve">Strategic collaborator, hiring, business development connects,  Finance &amp; compliance support </t>
  </si>
  <si>
    <t xml:space="preserve">Board participation, Business Development connects, compliance support </t>
  </si>
  <si>
    <t xml:space="preserve">Venture debt, general counsel , Hiring, Finance &amp; compliance support </t>
  </si>
  <si>
    <t>Hiring</t>
  </si>
  <si>
    <t>Board participation, Business Development connects</t>
  </si>
  <si>
    <t xml:space="preserve">Board participation, Business Development connects, structuring , finance and compliance support </t>
  </si>
  <si>
    <t>Structuring of follow-on rounds, compliance support, Board participation , hiring , evluation of acqui-hires, strategic media arrangement</t>
  </si>
  <si>
    <t>Business Development connects, Finance and compliance support, introduction to  follow-on round investors</t>
  </si>
  <si>
    <t>Structuring support, Finance and compliance support</t>
  </si>
  <si>
    <t>Accel, Helion, Bessemer</t>
  </si>
  <si>
    <t>Softbank, Tiger Global, Falcon Edge, Seqouia, DST Global, Steadview Capital, Accel, Didi Chuxing, GIC, Matrix , RNT Capital</t>
  </si>
  <si>
    <t>Kalaari Capital, Anypay, 500 Startups</t>
  </si>
  <si>
    <t>Tiger Global, Nirvana</t>
  </si>
  <si>
    <t>Jungle Ventures, Rebright, Illuminate Financial</t>
  </si>
  <si>
    <t>Kalaari</t>
  </si>
  <si>
    <t>GTI Capital, IQ Capital, IAN</t>
  </si>
  <si>
    <t>Emergent Ventures</t>
  </si>
  <si>
    <t>Catamaran Ventures</t>
  </si>
  <si>
    <t>Kae Capital</t>
  </si>
  <si>
    <t>Infoedge</t>
  </si>
  <si>
    <t>Accel, Saama, Vertex</t>
  </si>
  <si>
    <t>Mumbai Angels</t>
  </si>
  <si>
    <t>Kae Capital, Mumbai Angels</t>
  </si>
  <si>
    <t>Orios</t>
  </si>
  <si>
    <t>Cox &amp; Kings</t>
  </si>
  <si>
    <t>Kalaari, Bharti Softbank</t>
  </si>
  <si>
    <t>Ojas</t>
  </si>
  <si>
    <t>First Light Ventures</t>
  </si>
  <si>
    <t>Sequoia</t>
  </si>
  <si>
    <t>Orios, IAN</t>
  </si>
  <si>
    <t>Nandan Nilekani, Accel</t>
  </si>
  <si>
    <t>Kae Capital, SRI Capital</t>
  </si>
  <si>
    <t>Orios, FAO Ventures</t>
  </si>
  <si>
    <t>Accel, Cisco</t>
  </si>
  <si>
    <t>Seedfund</t>
  </si>
  <si>
    <t>Reliance GenNext, CISCO Ventures</t>
  </si>
  <si>
    <t>Prime Ventures</t>
  </si>
  <si>
    <t>Swap for holding in TaxiFor Sure</t>
  </si>
  <si>
    <t>Founder network ( connected through the founder's prior start-up)</t>
  </si>
  <si>
    <t>Founder network ( Inmobi founder )</t>
  </si>
  <si>
    <t xml:space="preserve">Co-investor referral ( angel investor) </t>
  </si>
  <si>
    <t>Swap of shares of Adepto</t>
  </si>
  <si>
    <t>Alumni network of GPs ( Karthik's alum introduced to the founder )</t>
  </si>
  <si>
    <t>Alumni network of GPs ( BITS alum connected throigh Sanjay)</t>
  </si>
  <si>
    <t>Fund advisor's referral</t>
  </si>
  <si>
    <t>angel ecosystem</t>
  </si>
  <si>
    <t>Founder network ( connected through the founder’s prior start-up)</t>
  </si>
  <si>
    <t xml:space="preserve">Accelerator network </t>
  </si>
  <si>
    <t xml:space="preserve">Co-investor referral </t>
  </si>
  <si>
    <t>Personal network of GPs</t>
  </si>
  <si>
    <t xml:space="preserve">VC referral </t>
  </si>
  <si>
    <t>Swap for shares in Touchfone</t>
  </si>
  <si>
    <t>Acquired through swap of investment in Giftrey</t>
  </si>
  <si>
    <t>Outbound</t>
  </si>
  <si>
    <t xml:space="preserve">co-investor network </t>
  </si>
  <si>
    <t>Founder network ( connected through the founder’s prior startup)</t>
  </si>
  <si>
    <t>Founder referral ( E2E founder)</t>
  </si>
  <si>
    <t>Gibraltar</t>
  </si>
  <si>
    <t>AdTech</t>
  </si>
  <si>
    <t>MarketingTech</t>
  </si>
  <si>
    <t>RetailTech</t>
  </si>
  <si>
    <t>Insieve Private Limited</t>
  </si>
  <si>
    <t>Valued at a 50% discount to the secondary price of the last round</t>
  </si>
  <si>
    <t>SnapLion</t>
  </si>
  <si>
    <t>Partial exit - sale to Fund 1X</t>
  </si>
  <si>
    <t>Partial exit - Secondary sale to Chevron &amp; CMA + Fund 1Y</t>
  </si>
  <si>
    <t>Secondary sale to Telescope Partners</t>
  </si>
  <si>
    <t>Exit via OFS in IPO and Public market</t>
  </si>
  <si>
    <t>MegaDelta, Dream Incubator</t>
  </si>
  <si>
    <t>MegaDelta, InfoEdge, GMO</t>
  </si>
  <si>
    <t>Bosch, Mayfield, GWB Group, VAMM Ventures</t>
  </si>
  <si>
    <t>Mumbai Angels, IAN</t>
  </si>
  <si>
    <t>Nazara, IAN</t>
  </si>
  <si>
    <t>Jungle Ventures, Taurus Value Creation, Qualcomm</t>
  </si>
  <si>
    <t>Pre Series C</t>
  </si>
  <si>
    <t>Mentoring, Marketing strategy</t>
  </si>
  <si>
    <t>Investor connect, Troubleshooting with Meta, Google Playstore, Zoho Credits</t>
  </si>
  <si>
    <t>Business Developement connect</t>
  </si>
  <si>
    <t>Business Developement connect, Investor Connect, Connect for debt financing</t>
  </si>
  <si>
    <t>Business strategy, Troubleshooting with Meta, Freshworks credits</t>
  </si>
  <si>
    <t>Investor connect</t>
  </si>
  <si>
    <t>Sparring on strategy and help on getting them to PMF, hiring intros, follow on investor intros, helping with google credits etc.</t>
  </si>
  <si>
    <t>Sparring on strategy and help on getting them to PMF, hiring intros, follow on investor intros.</t>
  </si>
  <si>
    <t>Sparring on strategy and driving efficiencies on GTM, hiring intros, follow on investor intros.</t>
  </si>
  <si>
    <t>Sparring on strategy and help on trying to get them to PMF, hiring intros, follow on investor intros.</t>
  </si>
  <si>
    <t>Sparring on product ideation.</t>
  </si>
  <si>
    <t>Sparring on strategy and help on trying to get them to PMF, hiring intros, follow on investor intros, business development intros.</t>
  </si>
  <si>
    <t>Sparring on strategy and driving efficiencies on GTM, connecting to experts and advisors.</t>
  </si>
  <si>
    <t>Co-investor referral</t>
  </si>
  <si>
    <t>Blume Network Programs</t>
  </si>
  <si>
    <t>Repeat Blume Founder</t>
  </si>
  <si>
    <t>Business Developement connect, Investor connect</t>
  </si>
  <si>
    <t>GTM connect, Hiring support (Metamorph), Business Developement connect</t>
  </si>
  <si>
    <t>Kabir - B Capital</t>
  </si>
  <si>
    <t>Candidate who we interviewed for a role in Fintech team</t>
  </si>
  <si>
    <t>Repeat Seasoned Founder</t>
  </si>
  <si>
    <t>Investor connect, troubleshooting with Meta</t>
  </si>
  <si>
    <t>Business Developement connects</t>
  </si>
  <si>
    <t>Marketing strategy, Business Developement connect</t>
  </si>
  <si>
    <t>Investor connect, Connect for Google Catalyst program, GitHub credits / discounts</t>
  </si>
  <si>
    <t>Investor connect, Connect for debt financing, Business Developement connect</t>
  </si>
  <si>
    <t>Business Developement connects, hiring , Investor connect</t>
  </si>
  <si>
    <t>Notes:</t>
  </si>
  <si>
    <t xml:space="preserve">- All information in this file is updated as of the last reporting quarter i.e </t>
  </si>
  <si>
    <t>Co-investor(s)</t>
  </si>
  <si>
    <t>Secondary sale to Apax Partners</t>
  </si>
  <si>
    <t>Write-off</t>
  </si>
  <si>
    <t xml:space="preserve">Moving Tech Innovations Private Limited </t>
  </si>
  <si>
    <t>Namma Yatri</t>
  </si>
  <si>
    <t>Adit</t>
  </si>
  <si>
    <t>Singapore/Bangalore</t>
  </si>
  <si>
    <t>Bengalore</t>
  </si>
  <si>
    <t>Seires B1</t>
  </si>
  <si>
    <t>Sparring on product ideation, and strategy</t>
  </si>
  <si>
    <t>GTM connects</t>
  </si>
  <si>
    <t>Michael &amp; Susan Dell Foundation, Simile, Artha</t>
  </si>
  <si>
    <t>Tenacity Ventures, Emergent, Industry Ventures</t>
  </si>
  <si>
    <t>Bill and Melinda Gates Foundation, IDH Farmfit, Stride Ventures, Blue Ashva Sampada, Omnivore Partners</t>
  </si>
  <si>
    <t>Valued at 30% discount to the last round(pre-money)</t>
  </si>
  <si>
    <t>Held at the CCD round (Post merger)</t>
  </si>
  <si>
    <t>Marked at Series C (Jan 23)</t>
  </si>
  <si>
    <t>Premji Invest, GIC, Peak XV Partners, Leo Capital, Telstra, Avaatar, Qualcomm</t>
  </si>
  <si>
    <t>Valued at 20% discount to the Series D3 round (Dec'24)</t>
  </si>
  <si>
    <t>Google, Radical Ventures, Lightspeed, GrowX, Sparta, Athera Venture Partners, Accenture, Omnivore, Glade Brook</t>
  </si>
  <si>
    <t>Commerce Ventures, GMO Venture Partners, Quona Capital, Village Global, Okta, Sorenson, PayPal</t>
  </si>
  <si>
    <t>Valued at 30% discount to the last round (pre-money)</t>
  </si>
  <si>
    <t>30% discount to the last round</t>
  </si>
  <si>
    <t>ICICI Ventures, Bessemer Venture Partners, Creaegis, Elevation, Dharana</t>
  </si>
  <si>
    <t>Billion Hearts Software Technologies Private Limited</t>
  </si>
  <si>
    <t>PicSee</t>
  </si>
  <si>
    <t>Savdo Technologies Private Limited</t>
  </si>
  <si>
    <t>Zoplar</t>
  </si>
  <si>
    <t>Media &amp; Content</t>
  </si>
  <si>
    <t>General Catalyst, Athera</t>
  </si>
  <si>
    <t>Beenext</t>
  </si>
  <si>
    <t>LightFury Games</t>
  </si>
  <si>
    <t>Vutto</t>
  </si>
  <si>
    <t>CCD - Post Series B1</t>
  </si>
  <si>
    <t>Secondary exit</t>
  </si>
  <si>
    <t>Oikocredit, Omidyar, Michael &amp; Susan Dell Foundation, Bill &amp; Melinda Gates Foundation, Rabo Partnership</t>
  </si>
  <si>
    <t>Inflection Point Ventures, NB Ventures, Dholakia Ventures, TSM Ventures, Venture Catalysts, Sprout Investments WeFounderCircle, Goodwater</t>
  </si>
  <si>
    <t>British International Investment (BII), Ecosystem Integrity Fund (EIF), Tiger Global, ADB, Aavishkar Capital</t>
  </si>
  <si>
    <t>Anurag</t>
  </si>
  <si>
    <t>ADQ, Tiger Global, Accel, Elevation Capital, Kaiser, Avenir, Think Investments, Fundamentum</t>
  </si>
  <si>
    <t>Marked at the secondary valuation of the Series D (pre-money) round (Mar 25)</t>
  </si>
  <si>
    <t>State Street, Faering Capital, Amazon, Premji Invest,  Sequoia, DSP Adiko, Beenext, Unitary Fund, Straddle Capital, HDFC</t>
  </si>
  <si>
    <t>Series B6</t>
  </si>
  <si>
    <t>Marked up to the Series D round (Mar 25)</t>
  </si>
  <si>
    <t>Series A4</t>
  </si>
  <si>
    <t>Marked up to last round (Series B - Dec'24)</t>
  </si>
  <si>
    <t>Marked up to last round (Series B - Jan'25)</t>
  </si>
  <si>
    <t>Accel, Tiger Global, Lightspeed, DST Global, Craegis, HSBC, GMO</t>
  </si>
  <si>
    <t>Marked up to the last round (Series A - Jan'25)</t>
  </si>
  <si>
    <t>Z47, Storm Ventures, Neon Fund, Peak XV, Khosla</t>
  </si>
  <si>
    <t>Optimized Electotech Private Limited</t>
  </si>
  <si>
    <t>Optimized</t>
  </si>
  <si>
    <t>Grey Orange International Inc</t>
  </si>
  <si>
    <t xml:space="preserve">GoStops Hospitality Private Limited </t>
  </si>
  <si>
    <t>goStops</t>
  </si>
  <si>
    <t>Umrit Health Tech Private Limited</t>
  </si>
  <si>
    <t>FOXO</t>
  </si>
  <si>
    <t>Volt14 Solutions India Private Limited</t>
  </si>
  <si>
    <t>Volt14</t>
  </si>
  <si>
    <t>Mela Ventures, Helios Capital, 100 Unicorns</t>
  </si>
  <si>
    <t>Seed E</t>
  </si>
  <si>
    <t>Cowen, Mithril, Three State Capital</t>
  </si>
  <si>
    <t>Pre Seed</t>
  </si>
  <si>
    <t>Beyond Ventures</t>
  </si>
  <si>
    <t>Partial exit via secondary sale to Chiratae</t>
  </si>
  <si>
    <t>Hero MotoCorp, GIC, Asian Development Bank, British International Investment, Piramal Alternatives, Athera Venture Partners</t>
  </si>
  <si>
    <t>Realisable Value</t>
  </si>
  <si>
    <t>Crossover Strategy</t>
  </si>
  <si>
    <t>LendingOps Labs Private Limited</t>
  </si>
  <si>
    <t>Held at secondary valuation of the last round (Series F - Mar 25)</t>
  </si>
  <si>
    <t>Winter Capital, Omidyar, Tencent, Morphosis Capital</t>
  </si>
  <si>
    <t>Pre Series B5</t>
  </si>
  <si>
    <t>Face value</t>
  </si>
  <si>
    <t>Blume Fund I had originally invested in Kuliza Technologies Private Limited. Following the restructuring of the business and holdings in Kuliza, and given the
long-standing relationship with the founder, these shares were offered to Fund 1Y, a natural extension to Fund 1, at face value as a gesture of continuity and as
scope of value capture in the new business.</t>
  </si>
  <si>
    <t>Lending Labs</t>
  </si>
  <si>
    <t>Marked at the last priced round (Series A - Jul'25)</t>
  </si>
  <si>
    <t>Marked at the last priced round (Series A - Aug'25)</t>
  </si>
  <si>
    <t>Provision - 50%</t>
  </si>
  <si>
    <t>Peak XV, Alpha Wave, Z47, Neon</t>
  </si>
  <si>
    <t>O21 Capital, Silver Needle</t>
  </si>
  <si>
    <t>Partial exit - Secondary sale to Accel, Paramark</t>
  </si>
  <si>
    <t>Partial exit - Secondary sale to GP managed vehicle</t>
  </si>
  <si>
    <t>Partial exit - Secondary sale to Oister &amp; GP managed vehicle</t>
  </si>
  <si>
    <t>Partial exit via secondary sale to Oister &amp; GP managed vehicle</t>
  </si>
  <si>
    <t>Partial exit via secondary sale to GP managed vehicle</t>
  </si>
  <si>
    <t>Valued at the latest exit valuation</t>
  </si>
  <si>
    <t>Partial exit via Secondary sale to GP managed vehicle</t>
  </si>
  <si>
    <t>Partial exit via Secondary sale to Neo Wealth, Chiratae &amp; Oister</t>
  </si>
  <si>
    <t>J.</t>
  </si>
  <si>
    <t>Four SB Ltd, Whiteboard, Other Investors</t>
  </si>
  <si>
    <t>Seed 1</t>
  </si>
  <si>
    <t>Nivasa</t>
  </si>
  <si>
    <t>OKA Housing Technologies Private Limited</t>
  </si>
  <si>
    <t>Seed B</t>
  </si>
  <si>
    <t>Seed A</t>
  </si>
  <si>
    <t>PowerUp</t>
  </si>
  <si>
    <t>PowerUp Technologies Private Limited</t>
  </si>
  <si>
    <t>Art Ventures Fund, Joule One Advisors LLP, Zeropearl Fund I, Symphysis LSV LLP, Panthera peak LLP, Huddle, Angels</t>
  </si>
  <si>
    <t>Ozi</t>
  </si>
  <si>
    <t>Ozi Technologies Private Limited</t>
  </si>
  <si>
    <t>SiriusOne Capital Fund, Consumer Collective (a scheme of IA Growth Opportunities Fund I acting through its trustees Axis Trustee Services Limited), Veltis Capital Fund II, AL Trust, Angels.</t>
  </si>
  <si>
    <t>Radmeen Solutions Private Limited</t>
  </si>
  <si>
    <t>Merak Ventures VCC, Merak Ventures Fund I, Angels</t>
  </si>
  <si>
    <t>iDO</t>
  </si>
  <si>
    <t>Spring Marketing Capital, Symphsis LSV LLP, SiriusOne Capital Fund</t>
  </si>
  <si>
    <t>Lucira</t>
  </si>
  <si>
    <t>Divinecarat Lifestyles Private Limited</t>
  </si>
  <si>
    <t>Peak XV Partners Investments VIII-1, Shine Capital</t>
  </si>
  <si>
    <t>MeantToBe Inc.</t>
  </si>
  <si>
    <t>Together Fund, DeVC, MedMountain Ventures</t>
  </si>
  <si>
    <t>Confido Health Inc.</t>
  </si>
  <si>
    <t>Inuka Capital LP 
AL trust, Aureolis Ventures LLP, Stargazer Fund – I, Eagle10 Ventures LLP, Angels</t>
  </si>
  <si>
    <t>MaveHealth</t>
  </si>
  <si>
    <t xml:space="preserve">Mave Health Private Limited </t>
  </si>
  <si>
    <t>MIXI Global Investments, Gemba Capital, Times Internet , Venture Catalyst, Angels</t>
  </si>
  <si>
    <t>Avaana Capital, UTEC, BII, SE Ventures, SMBC, Riverwalk</t>
  </si>
  <si>
    <t>Kae, Accel, Peak XV, 8i, DeVC, Eight Innovate</t>
  </si>
  <si>
    <t xml:space="preserve">Antler Global Fund Master,Google International LLC ,Better Industries Pte Ltd, Vimal </t>
  </si>
  <si>
    <t>Iron Pillar, Beenext, Singularity Investments, IFC</t>
  </si>
  <si>
    <t>Complement 1</t>
  </si>
  <si>
    <t>Complement Theory Inc.</t>
  </si>
  <si>
    <t>Upward and Onward Inc.</t>
  </si>
  <si>
    <t>Tower22 Inc.</t>
  </si>
  <si>
    <t>A91, Mirablis, Helion, Omidyar, NRJN (Nandan Nilekeni)</t>
  </si>
  <si>
    <t>Analog, Lets Venture, Titan Capital, Good Capital, Dallas</t>
  </si>
  <si>
    <t>RTP Global, Angels</t>
  </si>
  <si>
    <t>Hexo Inc.</t>
  </si>
  <si>
    <t>Hexo</t>
  </si>
  <si>
    <t>Artificial Intelligence</t>
  </si>
  <si>
    <t>SAFE</t>
  </si>
  <si>
    <t>Epithera</t>
  </si>
  <si>
    <t>Fund V</t>
  </si>
  <si>
    <t>December 2025</t>
  </si>
  <si>
    <t>Confido Health</t>
  </si>
  <si>
    <t>Meant To Be</t>
  </si>
  <si>
    <t>IDO Devices Private Limited</t>
  </si>
  <si>
    <t>Rebright Partners , Bharat Inclusion Seed Fund, Mitsui Sumitomo Insurance</t>
  </si>
  <si>
    <t>Antler, Neon Venture, Peer Capital, 100x, Piper Serica, Ikemori Venture, Raise Fintech</t>
  </si>
  <si>
    <t>GMO, India Quotient, Better Ventures</t>
  </si>
  <si>
    <t>Acquired by Ingka Group</t>
  </si>
  <si>
    <t>Estimated Exit Value</t>
  </si>
  <si>
    <t>Valued at $300 Mn basis the M&amp;A offer received</t>
  </si>
  <si>
    <t>TestMu</t>
  </si>
  <si>
    <t>35% discount to last round (Series D3 - August 23)</t>
  </si>
  <si>
    <t>Held at Series B round (March 21 - two rounds prior to the last round)</t>
  </si>
  <si>
    <t>Marked at 50% discount to the last round (Series B - Nov'22)</t>
  </si>
  <si>
    <t>Marked at 50% discount to the last round (Series A1 - July 24)</t>
  </si>
  <si>
    <t>Marked up to the last round (Series B2 - August 24)</t>
  </si>
  <si>
    <t>Marked up to the last round (Series C - September 24)</t>
  </si>
  <si>
    <t>Marked to the latest round (Pre-Series A - July 22)</t>
  </si>
  <si>
    <t>50% discount to the last round (Series E - Feb'22)</t>
  </si>
  <si>
    <t>Marked at 50% discount to the Series A round (June 21)</t>
  </si>
  <si>
    <t>Marked to the latest round (Series B - April 24)</t>
  </si>
  <si>
    <t>Marked to the latest round (Series B - Nov'24)</t>
  </si>
  <si>
    <t>Marked to the latest round (Series C1 - June 24)</t>
  </si>
  <si>
    <t xml:space="preserve">Marked up at Series A round (April 22) - Subsequent rounds marked at cost </t>
  </si>
  <si>
    <t>Marked up to the last round (Series B3 - March 24)</t>
  </si>
  <si>
    <t>Marked up to the last round (Series B - April 23)</t>
  </si>
  <si>
    <t>Marked up to the last round (Series A2 - September 22)</t>
  </si>
  <si>
    <t>Marked up to last round (Pre-Series B - June 24)</t>
  </si>
  <si>
    <t>Marked up to the last round (Series A - Sept'25)</t>
  </si>
  <si>
    <t>Marked up to the last round (Pre-Series B - Dec'25)</t>
  </si>
  <si>
    <t>Marked up to the last round (Series A - Oct'25)</t>
  </si>
  <si>
    <t>Marked up to the last round (Series B - Nov'24)</t>
  </si>
  <si>
    <t>Marked up to the last round (Series A - Oct'24)</t>
  </si>
  <si>
    <t>Marked at the secondary price of the last round (Series B - Dec'25)</t>
  </si>
  <si>
    <t>Marked at the last priced round (Series B - June 25)</t>
  </si>
  <si>
    <t>Valued at secondary price to the last round (Series F - May 24)</t>
  </si>
  <si>
    <t>Marked up to the last round (Series D - Oct'25)</t>
  </si>
  <si>
    <t>20% discount to the last round (Series E - May 22)</t>
  </si>
  <si>
    <t>Valued at secondary price to the last round (Series E - Feb'23)</t>
  </si>
  <si>
    <t>31% discount to the last round (Series D - Jan'22)</t>
  </si>
  <si>
    <t>Marked up to the last round (Series B - July 22)</t>
  </si>
  <si>
    <t>Valued at a 25% discount to the secondary price of the last round (Series F - Oct'24)</t>
  </si>
  <si>
    <t>₹ Mn</t>
  </si>
  <si>
    <t>Gross IRR 
(₹)</t>
  </si>
  <si>
    <t>Valued at secondary price of the last round (Series B - May 24)</t>
  </si>
  <si>
    <t>Gross IRR
(₹)</t>
  </si>
  <si>
    <t>- INR Cashflows have been converted to USD using FX rates on each transaction date/quarter end date as applicable, and vice-versa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</si>
</sst>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409]mmm\-yy;@"/>
    <numFmt numFmtId="165" formatCode="_(* #,##0.0_);_(* \(#,##0.0\);_(* &quot;-&quot;??_);_(@_)"/>
    <numFmt numFmtId="166" formatCode="_(* #,##0.00_);_(* \(#,##0.00\);_(* &quot;-&quot;??_);_(@_)"/>
    <numFmt numFmtId="167" formatCode="0.0%"/>
    <numFmt numFmtId="168" formatCode="0.0"/>
    <numFmt numFmtId="169" formatCode="_ * #,##0.0_ ;_ * \-#,##0.0_ ;_ * &quot;-&quot;??_ ;_ @_ "/>
    <numFmt numFmtId="170" formatCode="_ * #,##0_ ;_ * \-#,##0_ ;_ * &quot;-&quot;??_ ;_ @_ "/>
  </numFmts>
  <fonts count="25" x14ac:knownFonts="1">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11"/>
      <color theme="1"/>
      <name val="Source Sans Pro"/>
      <family val="2"/>
    </font>
    <font>
      <b/>
      <sz val="20"/>
      <color theme="4" tint="-0.499984740745262"/>
      <name val="Source Sans Pro"/>
      <family val="2"/>
    </font>
    <font>
      <b/>
      <sz val="11"/>
      <color theme="1"/>
      <name val="Source Sans Pro"/>
      <family val="2"/>
    </font>
    <font>
      <u/>
      <sz val="11"/>
      <color theme="4" tint="-0.249977111117893"/>
      <name val="Source Sans Pro"/>
      <family val="2"/>
    </font>
    <font>
      <sz val="10"/>
      <color theme="4" tint="-0.249977111117893"/>
      <name val="Calibri"/>
      <family val="2"/>
      <scheme val="minor"/>
    </font>
    <font>
      <b/>
      <sz val="11"/>
      <color theme="8" tint="-0.499984740745262"/>
      <name val="Source Sans Pro"/>
      <family val="2"/>
    </font>
    <font>
      <b/>
      <sz val="20"/>
      <color theme="8" tint="-0.499984740745262"/>
      <name val="Source Sans Pro"/>
      <family val="2"/>
    </font>
    <font>
      <sz val="10"/>
      <color theme="1" tint="0.34998626667073579"/>
      <name val="Source Sans Pro"/>
      <family val="2"/>
    </font>
    <font>
      <sz val="10"/>
      <color theme="4" tint="-0.249977111117893"/>
      <name val="Source Sans Pro"/>
      <family val="2"/>
    </font>
    <font>
      <sz val="10"/>
      <color theme="1"/>
      <name val="Source Sans Pro"/>
      <family val="2"/>
    </font>
    <font>
      <u/>
      <sz val="10"/>
      <color rgb="FF002060"/>
      <name val="Source Sans Pro"/>
      <family val="2"/>
    </font>
    <font>
      <i/>
      <sz val="10"/>
      <color theme="1"/>
      <name val="Source Sans Pro"/>
      <family val="2"/>
    </font>
    <font>
      <sz val="10"/>
      <name val="Verdana"/>
      <family val="2"/>
    </font>
    <font>
      <b/>
      <sz val="10"/>
      <color theme="0"/>
      <name val="Source Sans Pro"/>
      <family val="2"/>
    </font>
    <font>
      <b/>
      <sz val="10"/>
      <color theme="1"/>
      <name val="Source Sans Pro"/>
      <family val="2"/>
    </font>
    <font>
      <b/>
      <sz val="10"/>
      <name val="Source Sans Pro"/>
      <family val="2"/>
    </font>
    <font>
      <sz val="10"/>
      <color rgb="FFE6B9B8"/>
      <name val="Source Sans Pro"/>
      <family val="2"/>
    </font>
    <font>
      <sz val="10"/>
      <color rgb="FF000000"/>
      <name val="Source Sans Pro"/>
      <family val="2"/>
    </font>
    <font>
      <sz val="10"/>
      <name val="Source Sans Pro"/>
      <family val="2"/>
    </font>
    <font>
      <sz val="9"/>
      <color theme="1"/>
      <name val="Arial"/>
      <family val="2"/>
    </font>
    <font>
      <u/>
      <sz val="11"/>
      <color theme="10"/>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002060"/>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6" fillId="0" borderId="0"/>
    <xf numFmtId="9" fontId="1" fillId="0" borderId="0" applyFont="0" applyFill="0" applyBorder="0" applyAlignment="0" applyProtection="0"/>
    <xf numFmtId="0" fontId="24" fillId="0" borderId="0" applyNumberFormat="0" applyFill="0" applyBorder="0" applyAlignment="0" applyProtection="0"/>
  </cellStyleXfs>
  <cellXfs count="163">
    <xf numFmtId="0" fontId="0" fillId="0" borderId="0" xfId="0"/>
    <xf numFmtId="0" fontId="3" fillId="3" borderId="0" xfId="0" applyFont="1" applyFill="1" applyAlignment="1">
      <alignment wrapText="1"/>
    </xf>
    <xf numFmtId="0" fontId="6" fillId="3" borderId="0" xfId="0" applyFont="1" applyFill="1" applyAlignment="1">
      <alignment wrapText="1"/>
    </xf>
    <xf numFmtId="0" fontId="2" fillId="3" borderId="0" xfId="0" applyFont="1" applyFill="1" applyAlignment="1">
      <alignment horizontal="center"/>
    </xf>
    <xf numFmtId="0" fontId="13" fillId="0" borderId="0" xfId="0" applyFont="1" applyAlignment="1">
      <alignment horizontal="center"/>
    </xf>
    <xf numFmtId="168" fontId="18" fillId="5" borderId="0" xfId="1" applyNumberFormat="1" applyFont="1" applyFill="1" applyAlignment="1">
      <alignment horizontal="center"/>
    </xf>
    <xf numFmtId="167" fontId="13" fillId="0" borderId="0" xfId="0" applyNumberFormat="1" applyFont="1" applyAlignment="1">
      <alignment horizontal="center"/>
    </xf>
    <xf numFmtId="168" fontId="13" fillId="0" borderId="0" xfId="1" applyNumberFormat="1" applyFont="1" applyAlignment="1">
      <alignment horizontal="center"/>
    </xf>
    <xf numFmtId="0" fontId="13" fillId="0" borderId="0" xfId="0" applyFont="1" applyAlignment="1">
      <alignment wrapText="1"/>
    </xf>
    <xf numFmtId="0" fontId="18" fillId="0" borderId="0" xfId="0" applyFont="1" applyAlignment="1">
      <alignment horizontal="center"/>
    </xf>
    <xf numFmtId="0" fontId="18" fillId="0" borderId="0" xfId="0" applyFont="1" applyAlignment="1">
      <alignment wrapText="1"/>
    </xf>
    <xf numFmtId="0" fontId="7" fillId="0" borderId="0" xfId="0" applyFont="1" applyAlignment="1">
      <alignment wrapText="1"/>
    </xf>
    <xf numFmtId="168" fontId="13" fillId="0" borderId="0" xfId="1" applyNumberFormat="1" applyFont="1" applyFill="1" applyAlignment="1">
      <alignment horizontal="center"/>
    </xf>
    <xf numFmtId="0" fontId="0" fillId="0" borderId="0" xfId="0" applyAlignment="1">
      <alignment horizontal="center"/>
    </xf>
    <xf numFmtId="169" fontId="0" fillId="0" borderId="0" xfId="0" applyNumberFormat="1" applyAlignment="1">
      <alignment horizontal="center"/>
    </xf>
    <xf numFmtId="167" fontId="0" fillId="0" borderId="0" xfId="0" applyNumberFormat="1" applyAlignment="1">
      <alignment horizontal="center"/>
    </xf>
    <xf numFmtId="43" fontId="0" fillId="0" borderId="0" xfId="1" applyFont="1" applyAlignment="1">
      <alignment horizontal="center"/>
    </xf>
    <xf numFmtId="0" fontId="0" fillId="0" borderId="0" xfId="0" applyAlignment="1">
      <alignment horizontal="center" wrapText="1"/>
    </xf>
    <xf numFmtId="0" fontId="13"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left"/>
    </xf>
    <xf numFmtId="10" fontId="13" fillId="0" borderId="0" xfId="0" applyNumberFormat="1" applyFont="1" applyAlignment="1">
      <alignment horizontal="center"/>
    </xf>
    <xf numFmtId="0" fontId="24" fillId="0" borderId="0" xfId="6" applyAlignment="1">
      <alignment wrapText="1"/>
    </xf>
    <xf numFmtId="0" fontId="3" fillId="3" borderId="0" xfId="0" applyFont="1" applyFill="1"/>
    <xf numFmtId="0" fontId="4" fillId="3" borderId="0" xfId="0" applyFont="1" applyFill="1"/>
    <xf numFmtId="0" fontId="3" fillId="0" borderId="0" xfId="0" applyFont="1"/>
    <xf numFmtId="0" fontId="2" fillId="3" borderId="0" xfId="0" applyFont="1" applyFill="1"/>
    <xf numFmtId="0" fontId="5" fillId="3" borderId="0" xfId="0" applyFont="1" applyFill="1"/>
    <xf numFmtId="0" fontId="10" fillId="0" borderId="0" xfId="0" applyFont="1"/>
    <xf numFmtId="0" fontId="5" fillId="0" borderId="0" xfId="0" applyFont="1"/>
    <xf numFmtId="17" fontId="4" fillId="0" borderId="0" xfId="0" quotePrefix="1" applyNumberFormat="1" applyFont="1"/>
    <xf numFmtId="0" fontId="8" fillId="3" borderId="0" xfId="0" applyFont="1" applyFill="1"/>
    <xf numFmtId="0" fontId="9" fillId="3" borderId="0" xfId="0" applyFont="1" applyFill="1"/>
    <xf numFmtId="0" fontId="11" fillId="3" borderId="0" xfId="0" quotePrefix="1" applyFont="1" applyFill="1"/>
    <xf numFmtId="0" fontId="12" fillId="3" borderId="0" xfId="0" applyFont="1" applyFill="1"/>
    <xf numFmtId="17" fontId="13" fillId="3" borderId="0" xfId="0" applyNumberFormat="1" applyFont="1" applyFill="1"/>
    <xf numFmtId="17" fontId="14" fillId="3" borderId="0" xfId="0" applyNumberFormat="1" applyFont="1" applyFill="1"/>
    <xf numFmtId="0" fontId="13" fillId="3" borderId="0" xfId="0" applyFont="1" applyFill="1"/>
    <xf numFmtId="0" fontId="13" fillId="3" borderId="1" xfId="0" applyFont="1" applyFill="1" applyBorder="1"/>
    <xf numFmtId="0" fontId="15" fillId="3" borderId="0" xfId="0" applyFont="1" applyFill="1"/>
    <xf numFmtId="0" fontId="17" fillId="4" borderId="0" xfId="0" applyFont="1" applyFill="1" applyAlignment="1">
      <alignment horizontal="center"/>
    </xf>
    <xf numFmtId="0" fontId="17" fillId="4" borderId="0" xfId="0" applyFont="1" applyFill="1" applyAlignment="1">
      <alignment horizontal="center" wrapText="1"/>
    </xf>
    <xf numFmtId="167" fontId="17" fillId="4" borderId="0" xfId="0" applyNumberFormat="1" applyFont="1" applyFill="1" applyAlignment="1">
      <alignment horizontal="center" wrapText="1"/>
    </xf>
    <xf numFmtId="0" fontId="13" fillId="0" borderId="0" xfId="0" applyFont="1"/>
    <xf numFmtId="0" fontId="18" fillId="5" borderId="0" xfId="0" applyFont="1" applyFill="1" applyAlignment="1">
      <alignment horizontal="center"/>
    </xf>
    <xf numFmtId="167" fontId="18" fillId="5" borderId="0" xfId="0" applyNumberFormat="1" applyFont="1" applyFill="1" applyAlignment="1">
      <alignment horizontal="center"/>
    </xf>
    <xf numFmtId="0" fontId="18" fillId="2" borderId="0" xfId="0" applyFont="1" applyFill="1"/>
    <xf numFmtId="17" fontId="13" fillId="0" borderId="0" xfId="0" applyNumberFormat="1" applyFont="1" applyAlignment="1">
      <alignment horizontal="center"/>
    </xf>
    <xf numFmtId="165" fontId="13" fillId="0" borderId="0" xfId="1" applyNumberFormat="1" applyFont="1" applyAlignment="1"/>
    <xf numFmtId="43" fontId="13" fillId="0" borderId="0" xfId="1" applyFont="1" applyFill="1" applyAlignment="1">
      <alignment horizontal="right"/>
    </xf>
    <xf numFmtId="169" fontId="13" fillId="0" borderId="0" xfId="1" applyNumberFormat="1" applyFont="1" applyAlignment="1"/>
    <xf numFmtId="165" fontId="13" fillId="0" borderId="0" xfId="0" applyNumberFormat="1" applyFont="1"/>
    <xf numFmtId="165" fontId="13" fillId="0" borderId="0" xfId="1" applyNumberFormat="1" applyFont="1" applyFill="1" applyAlignment="1">
      <alignment horizontal="center"/>
    </xf>
    <xf numFmtId="43" fontId="13" fillId="0" borderId="0" xfId="1" applyFont="1" applyFill="1" applyAlignment="1">
      <alignment horizontal="center"/>
    </xf>
    <xf numFmtId="169" fontId="18" fillId="5" borderId="0" xfId="0" applyNumberFormat="1" applyFont="1" applyFill="1" applyAlignment="1">
      <alignment horizontal="center"/>
    </xf>
    <xf numFmtId="169" fontId="18" fillId="5" borderId="0" xfId="3" applyNumberFormat="1" applyFont="1" applyFill="1" applyAlignment="1">
      <alignment horizontal="center"/>
    </xf>
    <xf numFmtId="43" fontId="18" fillId="5" borderId="0" xfId="3" applyFont="1" applyFill="1" applyAlignment="1">
      <alignment horizontal="center"/>
    </xf>
    <xf numFmtId="169" fontId="18" fillId="5" borderId="0" xfId="1" applyNumberFormat="1" applyFont="1" applyFill="1" applyAlignment="1">
      <alignment horizontal="center"/>
    </xf>
    <xf numFmtId="0" fontId="18" fillId="5" borderId="0" xfId="0" applyFont="1" applyFill="1" applyAlignment="1">
      <alignment horizontal="left"/>
    </xf>
    <xf numFmtId="0" fontId="13" fillId="2" borderId="0" xfId="0" applyFont="1" applyFill="1" applyAlignment="1">
      <alignment horizontal="center"/>
    </xf>
    <xf numFmtId="9" fontId="13" fillId="0" borderId="0" xfId="1" applyNumberFormat="1" applyFont="1" applyFill="1" applyAlignment="1">
      <alignment horizontal="right"/>
    </xf>
    <xf numFmtId="169" fontId="23" fillId="0" borderId="0" xfId="1" applyNumberFormat="1" applyFont="1" applyFill="1" applyAlignment="1"/>
    <xf numFmtId="165" fontId="13" fillId="0" borderId="0" xfId="0" applyNumberFormat="1" applyFont="1" applyAlignment="1">
      <alignment horizontal="center"/>
    </xf>
    <xf numFmtId="0" fontId="13" fillId="0" borderId="0" xfId="0" applyFont="1" applyAlignment="1">
      <alignment horizontal="right"/>
    </xf>
    <xf numFmtId="169" fontId="18" fillId="5" borderId="0" xfId="0" applyNumberFormat="1" applyFont="1" applyFill="1"/>
    <xf numFmtId="167" fontId="18" fillId="5" borderId="0" xfId="2" applyNumberFormat="1" applyFont="1" applyFill="1" applyAlignment="1">
      <alignment horizontal="center"/>
    </xf>
    <xf numFmtId="169" fontId="13" fillId="2" borderId="0" xfId="0" applyNumberFormat="1" applyFont="1" applyFill="1"/>
    <xf numFmtId="169" fontId="13" fillId="0" borderId="0" xfId="0" applyNumberFormat="1" applyFont="1"/>
    <xf numFmtId="167" fontId="13" fillId="0" borderId="0" xfId="0" applyNumberFormat="1" applyFont="1"/>
    <xf numFmtId="0" fontId="4" fillId="0" borderId="0" xfId="0" applyFont="1"/>
    <xf numFmtId="43" fontId="4" fillId="0" borderId="0" xfId="1" applyFont="1" applyAlignment="1"/>
    <xf numFmtId="169" fontId="4" fillId="0" borderId="0" xfId="1" applyNumberFormat="1" applyFont="1" applyAlignment="1"/>
    <xf numFmtId="169" fontId="4" fillId="0" borderId="0" xfId="0" applyNumberFormat="1" applyFont="1"/>
    <xf numFmtId="169" fontId="17" fillId="4" borderId="0" xfId="0" applyNumberFormat="1" applyFont="1" applyFill="1" applyAlignment="1">
      <alignment horizontal="center"/>
    </xf>
    <xf numFmtId="169" fontId="17" fillId="4" borderId="0" xfId="0" applyNumberFormat="1" applyFont="1" applyFill="1" applyAlignment="1">
      <alignment horizontal="center" wrapText="1"/>
    </xf>
    <xf numFmtId="0" fontId="21" fillId="0" borderId="0" xfId="0" applyFont="1"/>
    <xf numFmtId="0" fontId="21" fillId="0" borderId="0" xfId="0" applyFont="1" applyAlignment="1">
      <alignment horizontal="left"/>
    </xf>
    <xf numFmtId="164" fontId="13" fillId="0" borderId="0" xfId="0" applyNumberFormat="1" applyFont="1" applyAlignment="1">
      <alignment horizontal="left"/>
    </xf>
    <xf numFmtId="17" fontId="13" fillId="0" borderId="0" xfId="0" applyNumberFormat="1" applyFont="1"/>
    <xf numFmtId="165" fontId="13" fillId="0" borderId="0" xfId="1" applyNumberFormat="1" applyFont="1" applyFill="1" applyAlignment="1"/>
    <xf numFmtId="165" fontId="13" fillId="0" borderId="0" xfId="1" applyNumberFormat="1" applyFont="1" applyFill="1" applyAlignment="1">
      <alignment horizontal="right"/>
    </xf>
    <xf numFmtId="9" fontId="13" fillId="0" borderId="0" xfId="2" applyFont="1" applyFill="1" applyAlignment="1">
      <alignment horizontal="right"/>
    </xf>
    <xf numFmtId="169" fontId="13" fillId="0" borderId="0" xfId="1" applyNumberFormat="1" applyFont="1" applyFill="1" applyAlignment="1"/>
    <xf numFmtId="167" fontId="13" fillId="0" borderId="0" xfId="2" applyNumberFormat="1" applyFont="1" applyFill="1" applyAlignment="1">
      <alignment horizontal="right"/>
    </xf>
    <xf numFmtId="169" fontId="13" fillId="0" borderId="0" xfId="1" applyNumberFormat="1" applyFont="1" applyFill="1" applyAlignment="1">
      <alignment horizontal="center"/>
    </xf>
    <xf numFmtId="43" fontId="13" fillId="0" borderId="0" xfId="1" applyFont="1" applyAlignment="1"/>
    <xf numFmtId="0" fontId="13" fillId="0" borderId="0" xfId="0" applyFont="1" applyAlignment="1">
      <alignment horizontal="left"/>
    </xf>
    <xf numFmtId="164" fontId="21" fillId="0" borderId="0" xfId="0" applyNumberFormat="1" applyFont="1" applyAlignment="1">
      <alignment horizontal="left"/>
    </xf>
    <xf numFmtId="167" fontId="13" fillId="0" borderId="0" xfId="2" applyNumberFormat="1" applyFont="1" applyAlignment="1">
      <alignment horizontal="right"/>
    </xf>
    <xf numFmtId="0" fontId="18" fillId="5" borderId="0" xfId="0" applyFont="1" applyFill="1"/>
    <xf numFmtId="167" fontId="18" fillId="5" borderId="0" xfId="0" applyNumberFormat="1" applyFont="1" applyFill="1" applyAlignment="1">
      <alignment horizontal="right"/>
    </xf>
    <xf numFmtId="0" fontId="4" fillId="0" borderId="0" xfId="0" applyFont="1" applyAlignment="1">
      <alignment horizontal="center"/>
    </xf>
    <xf numFmtId="0" fontId="4" fillId="0" borderId="0" xfId="0" applyFont="1" applyAlignment="1">
      <alignment wrapText="1"/>
    </xf>
    <xf numFmtId="0" fontId="4" fillId="0" borderId="0" xfId="0" applyFont="1" applyAlignment="1">
      <alignment horizontal="left"/>
    </xf>
    <xf numFmtId="164" fontId="4" fillId="0" borderId="0" xfId="0" applyNumberFormat="1" applyFont="1"/>
    <xf numFmtId="165" fontId="4" fillId="0" borderId="0" xfId="1" applyNumberFormat="1" applyFont="1" applyFill="1" applyAlignment="1"/>
    <xf numFmtId="165" fontId="4" fillId="0" borderId="0" xfId="1" applyNumberFormat="1" applyFont="1" applyFill="1" applyAlignment="1">
      <alignment horizontal="center"/>
    </xf>
    <xf numFmtId="43" fontId="4" fillId="0" borderId="0" xfId="1" applyFont="1" applyFill="1" applyAlignment="1"/>
    <xf numFmtId="169" fontId="4" fillId="0" borderId="0" xfId="1" applyNumberFormat="1" applyFont="1" applyFill="1" applyAlignment="1"/>
    <xf numFmtId="2" fontId="4" fillId="0" borderId="0" xfId="0" applyNumberFormat="1" applyFont="1"/>
    <xf numFmtId="167" fontId="4" fillId="0" borderId="0" xfId="2" applyNumberFormat="1" applyFont="1" applyFill="1" applyAlignment="1"/>
    <xf numFmtId="43" fontId="4" fillId="0" borderId="0" xfId="0" applyNumberFormat="1" applyFont="1"/>
    <xf numFmtId="17" fontId="4" fillId="0" borderId="0" xfId="0" applyNumberFormat="1" applyFont="1" applyAlignment="1">
      <alignment horizontal="right"/>
    </xf>
    <xf numFmtId="169" fontId="13" fillId="0" borderId="0" xfId="3" applyNumberFormat="1" applyFont="1" applyAlignment="1"/>
    <xf numFmtId="169" fontId="13" fillId="0" borderId="0" xfId="3" applyNumberFormat="1" applyFont="1" applyFill="1" applyAlignment="1"/>
    <xf numFmtId="169" fontId="13" fillId="0" borderId="0" xfId="3" applyNumberFormat="1" applyFont="1" applyFill="1" applyAlignment="1">
      <alignment horizontal="center"/>
    </xf>
    <xf numFmtId="43" fontId="4" fillId="0" borderId="0" xfId="1" applyFont="1" applyFill="1" applyAlignment="1">
      <alignment horizontal="center"/>
    </xf>
    <xf numFmtId="9" fontId="13" fillId="0" borderId="0" xfId="3" applyNumberFormat="1" applyFont="1" applyFill="1" applyAlignment="1">
      <alignment horizontal="center"/>
    </xf>
    <xf numFmtId="169" fontId="13" fillId="0" borderId="0" xfId="1" applyNumberFormat="1" applyFont="1" applyFill="1" applyAlignment="1">
      <alignment horizontal="right"/>
    </xf>
    <xf numFmtId="169" fontId="13" fillId="0" borderId="0" xfId="1" applyNumberFormat="1" applyFont="1" applyAlignment="1">
      <alignment horizontal="right"/>
    </xf>
    <xf numFmtId="167" fontId="4" fillId="0" borderId="0" xfId="0" applyNumberFormat="1" applyFont="1"/>
    <xf numFmtId="10" fontId="13" fillId="0" borderId="0" xfId="0" applyNumberFormat="1" applyFont="1"/>
    <xf numFmtId="168" fontId="17" fillId="4" borderId="0" xfId="0" applyNumberFormat="1" applyFont="1" applyFill="1" applyAlignment="1">
      <alignment horizontal="center" wrapText="1"/>
    </xf>
    <xf numFmtId="168" fontId="18" fillId="5" borderId="0" xfId="0" applyNumberFormat="1" applyFont="1" applyFill="1" applyAlignment="1">
      <alignment horizontal="center"/>
    </xf>
    <xf numFmtId="17" fontId="13" fillId="0" borderId="0" xfId="0" applyNumberFormat="1" applyFont="1" applyAlignment="1">
      <alignment horizontal="right"/>
    </xf>
    <xf numFmtId="43" fontId="13" fillId="0" borderId="0" xfId="1" applyFont="1" applyFill="1" applyAlignment="1"/>
    <xf numFmtId="168" fontId="13" fillId="0" borderId="0" xfId="0" applyNumberFormat="1" applyFont="1"/>
    <xf numFmtId="43" fontId="13" fillId="0" borderId="0" xfId="3" applyFont="1" applyFill="1" applyAlignment="1"/>
    <xf numFmtId="0" fontId="22" fillId="0" borderId="0" xfId="0" applyFont="1"/>
    <xf numFmtId="167" fontId="13" fillId="0" borderId="0" xfId="0" applyNumberFormat="1" applyFont="1" applyAlignment="1">
      <alignment horizontal="right"/>
    </xf>
    <xf numFmtId="43" fontId="13" fillId="0" borderId="0" xfId="3" applyFont="1" applyFill="1" applyAlignment="1">
      <alignment horizontal="center"/>
    </xf>
    <xf numFmtId="0" fontId="18" fillId="0" borderId="0" xfId="0" applyFont="1"/>
    <xf numFmtId="10" fontId="17" fillId="4" borderId="0" xfId="0" applyNumberFormat="1" applyFont="1" applyFill="1" applyAlignment="1">
      <alignment horizontal="center" wrapText="1"/>
    </xf>
    <xf numFmtId="10" fontId="18" fillId="5" borderId="0" xfId="0" applyNumberFormat="1" applyFont="1" applyFill="1" applyAlignment="1">
      <alignment horizontal="center"/>
    </xf>
    <xf numFmtId="165" fontId="13" fillId="0" borderId="0" xfId="1" applyNumberFormat="1" applyFont="1" applyAlignment="1">
      <alignment horizontal="right"/>
    </xf>
    <xf numFmtId="165" fontId="13" fillId="0" borderId="0" xfId="0" applyNumberFormat="1" applyFont="1" applyAlignment="1">
      <alignment horizontal="right"/>
    </xf>
    <xf numFmtId="10" fontId="18" fillId="5" borderId="0" xfId="2" applyNumberFormat="1" applyFont="1" applyFill="1" applyAlignment="1">
      <alignment horizontal="center"/>
    </xf>
    <xf numFmtId="43" fontId="18" fillId="0" borderId="0" xfId="1" applyFont="1" applyFill="1" applyAlignment="1"/>
    <xf numFmtId="9" fontId="18" fillId="0" borderId="0" xfId="2" applyFont="1" applyFill="1" applyAlignment="1"/>
    <xf numFmtId="164" fontId="21" fillId="0" borderId="0" xfId="0" applyNumberFormat="1" applyFont="1" applyAlignment="1">
      <alignment horizontal="center"/>
    </xf>
    <xf numFmtId="165" fontId="13" fillId="0" borderId="0" xfId="3" applyNumberFormat="1" applyFont="1" applyFill="1" applyAlignment="1">
      <alignment horizontal="right"/>
    </xf>
    <xf numFmtId="43" fontId="13" fillId="0" borderId="0" xfId="3" applyFont="1" applyFill="1" applyAlignment="1">
      <alignment horizontal="right"/>
    </xf>
    <xf numFmtId="167" fontId="22" fillId="0" borderId="0" xfId="2" applyNumberFormat="1" applyFont="1" applyFill="1" applyAlignment="1">
      <alignment horizontal="center"/>
    </xf>
    <xf numFmtId="9" fontId="13" fillId="0" borderId="0" xfId="3" applyNumberFormat="1" applyFont="1" applyFill="1" applyAlignment="1">
      <alignment horizontal="right"/>
    </xf>
    <xf numFmtId="164" fontId="13" fillId="0" borderId="0" xfId="0" applyNumberFormat="1" applyFont="1" applyAlignment="1">
      <alignment horizontal="center"/>
    </xf>
    <xf numFmtId="0" fontId="13" fillId="0" borderId="0" xfId="0" applyFont="1" applyAlignment="1">
      <alignment horizontal="left" wrapText="1"/>
    </xf>
    <xf numFmtId="43" fontId="18" fillId="0" borderId="0" xfId="1" applyFont="1" applyAlignment="1"/>
    <xf numFmtId="165" fontId="18" fillId="0" borderId="0" xfId="0" applyNumberFormat="1" applyFont="1"/>
    <xf numFmtId="169" fontId="18" fillId="0" borderId="0" xfId="0" applyNumberFormat="1" applyFont="1"/>
    <xf numFmtId="43" fontId="18" fillId="0" borderId="0" xfId="0" applyNumberFormat="1" applyFont="1"/>
    <xf numFmtId="165" fontId="17" fillId="4" borderId="0" xfId="0" applyNumberFormat="1" applyFont="1" applyFill="1" applyAlignment="1">
      <alignment horizontal="center"/>
    </xf>
    <xf numFmtId="0" fontId="18" fillId="5" borderId="0" xfId="0" applyFont="1" applyFill="1" applyAlignment="1">
      <alignment horizontal="center" wrapText="1"/>
    </xf>
    <xf numFmtId="165" fontId="13" fillId="0" borderId="0" xfId="3" applyNumberFormat="1" applyFont="1" applyAlignment="1">
      <alignment horizontal="right"/>
    </xf>
    <xf numFmtId="165" fontId="13" fillId="0" borderId="0" xfId="3" applyNumberFormat="1" applyFont="1" applyAlignment="1">
      <alignment horizontal="center"/>
    </xf>
    <xf numFmtId="9" fontId="13" fillId="0" borderId="0" xfId="3" applyNumberFormat="1" applyFont="1" applyAlignment="1">
      <alignment horizontal="center"/>
    </xf>
    <xf numFmtId="167" fontId="13" fillId="0" borderId="0" xfId="1" applyNumberFormat="1" applyFont="1" applyFill="1" applyAlignment="1">
      <alignment horizontal="center"/>
    </xf>
    <xf numFmtId="43" fontId="13" fillId="0" borderId="0" xfId="1" applyFont="1" applyAlignment="1">
      <alignment horizontal="center"/>
    </xf>
    <xf numFmtId="165" fontId="13" fillId="0" borderId="0" xfId="3" applyNumberFormat="1" applyFont="1" applyFill="1" applyAlignment="1">
      <alignment horizontal="center"/>
    </xf>
    <xf numFmtId="165" fontId="18" fillId="5" borderId="0" xfId="3" applyNumberFormat="1" applyFont="1" applyFill="1" applyAlignment="1">
      <alignment horizontal="center"/>
    </xf>
    <xf numFmtId="0" fontId="19" fillId="0" borderId="0" xfId="0" applyFont="1" applyAlignment="1">
      <alignment wrapText="1"/>
    </xf>
    <xf numFmtId="0" fontId="20" fillId="0" borderId="0" xfId="0" applyFont="1" applyAlignment="1">
      <alignment wrapText="1"/>
    </xf>
    <xf numFmtId="43" fontId="19" fillId="0" borderId="0" xfId="3" applyFont="1" applyFill="1" applyAlignment="1">
      <alignment wrapText="1"/>
    </xf>
    <xf numFmtId="165" fontId="19" fillId="0" borderId="0" xfId="3" applyNumberFormat="1" applyFont="1" applyFill="1" applyAlignment="1">
      <alignment wrapText="1"/>
    </xf>
    <xf numFmtId="169" fontId="19" fillId="0" borderId="0" xfId="3" applyNumberFormat="1" applyFont="1" applyFill="1" applyAlignment="1">
      <alignment wrapText="1"/>
    </xf>
    <xf numFmtId="169" fontId="13" fillId="0" borderId="0" xfId="0" applyNumberFormat="1" applyFont="1" applyAlignment="1">
      <alignment horizontal="center"/>
    </xf>
    <xf numFmtId="0" fontId="17" fillId="4" borderId="0" xfId="0" applyFont="1" applyFill="1" applyAlignment="1">
      <alignment horizontal="right" wrapText="1"/>
    </xf>
    <xf numFmtId="0" fontId="18" fillId="5" borderId="0" xfId="0" applyFont="1" applyFill="1" applyAlignment="1">
      <alignment horizontal="right"/>
    </xf>
    <xf numFmtId="166" fontId="13" fillId="0" borderId="0" xfId="0" applyNumberFormat="1" applyFont="1"/>
    <xf numFmtId="170" fontId="17" fillId="4" borderId="0" xfId="0" applyNumberFormat="1" applyFont="1" applyFill="1" applyAlignment="1">
      <alignment horizontal="center"/>
    </xf>
    <xf numFmtId="170" fontId="18" fillId="5" borderId="0" xfId="0" applyNumberFormat="1" applyFont="1" applyFill="1" applyAlignment="1">
      <alignment horizontal="center"/>
    </xf>
    <xf numFmtId="170" fontId="13" fillId="0" borderId="0" xfId="0" applyNumberFormat="1" applyFont="1"/>
    <xf numFmtId="9" fontId="19" fillId="0" borderId="0" xfId="2" applyFont="1" applyFill="1" applyAlignment="1">
      <alignment wrapText="1"/>
    </xf>
    <xf numFmtId="9" fontId="4" fillId="0" borderId="0" xfId="2" applyFont="1"/>
  </cellXfs>
  <cellStyles count="7">
    <cellStyle name="Comma" xfId="1" builtinId="3"/>
    <cellStyle name="Comma 10 2" xfId="3" xr:uid="{BFF140B6-83F1-4296-A82C-64DDA84E9172}"/>
    <cellStyle name="Hyperlink" xfId="6" builtinId="8"/>
    <cellStyle name="Normal" xfId="0" builtinId="0"/>
    <cellStyle name="Normal 2" xfId="4" xr:uid="{AECA7499-4004-4CD2-B2A3-4E4BBABD01AF}"/>
    <cellStyle name="Percent" xfId="2" builtinId="5"/>
    <cellStyle name="Percent 4" xfId="5" xr:uid="{1F119C56-CFB4-44E9-A428-08E850BE89CD}"/>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15240</xdr:rowOff>
    </xdr:from>
    <xdr:to>
      <xdr:col>2</xdr:col>
      <xdr:colOff>893064</xdr:colOff>
      <xdr:row>3</xdr:row>
      <xdr:rowOff>139505</xdr:rowOff>
    </xdr:to>
    <xdr:pic>
      <xdr:nvPicPr>
        <xdr:cNvPr id="2" name="bg object 17">
          <a:extLst>
            <a:ext uri="{FF2B5EF4-FFF2-40B4-BE49-F238E27FC236}">
              <a16:creationId xmlns:a16="http://schemas.microsoft.com/office/drawing/2014/main" id="{7259C722-E5AC-4F33-B654-B815C050C31D}"/>
            </a:ext>
          </a:extLst>
        </xdr:cNvPr>
        <xdr:cNvPicPr/>
      </xdr:nvPicPr>
      <xdr:blipFill>
        <a:blip xmlns:r="http://schemas.openxmlformats.org/officeDocument/2006/relationships" r:embed="rId1" cstate="print"/>
        <a:stretch>
          <a:fillRect/>
        </a:stretch>
      </xdr:blipFill>
      <xdr:spPr>
        <a:xfrm>
          <a:off x="358140" y="198120"/>
          <a:ext cx="1921764" cy="5448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5C17-370D-41D0-B6B6-18F9B06530C3}">
  <dimension ref="A1:AG1277"/>
  <sheetViews>
    <sheetView showGridLines="0" zoomScale="104" workbookViewId="0">
      <selection activeCell="B22" sqref="B22"/>
    </sheetView>
  </sheetViews>
  <sheetFormatPr defaultColWidth="8.6328125" defaultRowHeight="13" x14ac:dyDescent="0.3"/>
  <cols>
    <col min="1" max="1" width="5.36328125" style="25" customWidth="1"/>
    <col min="2" max="2" width="14.6328125" style="25" customWidth="1"/>
    <col min="3" max="3" width="36" style="25" customWidth="1"/>
    <col min="4" max="4" width="4.6328125" style="25" customWidth="1"/>
    <col min="5" max="16384" width="8.6328125" style="25"/>
  </cols>
  <sheetData>
    <row r="1" spans="1:33" ht="14.5" x14ac:dyDescent="0.35">
      <c r="A1" s="23"/>
      <c r="B1" s="24"/>
      <c r="C1" s="24"/>
      <c r="D1" s="24"/>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row>
    <row r="2" spans="1:33" x14ac:dyDescent="0.3">
      <c r="A2" s="23"/>
      <c r="B2" s="26"/>
      <c r="C2" s="1"/>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row>
    <row r="3" spans="1:33" x14ac:dyDescent="0.3">
      <c r="A3" s="23"/>
      <c r="B3" s="1"/>
      <c r="C3" s="1"/>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row>
    <row r="4" spans="1:33" x14ac:dyDescent="0.3">
      <c r="A4" s="23"/>
      <c r="B4" s="1"/>
      <c r="C4" s="1"/>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row>
    <row r="5" spans="1:33" x14ac:dyDescent="0.3">
      <c r="A5" s="23"/>
      <c r="B5" s="1"/>
      <c r="C5" s="1"/>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row>
    <row r="6" spans="1:33" s="29" customFormat="1" ht="26" x14ac:dyDescent="0.6">
      <c r="A6" s="27"/>
      <c r="B6" s="28" t="s">
        <v>588</v>
      </c>
      <c r="C6" s="27"/>
      <c r="D6" s="27"/>
      <c r="E6" s="27"/>
      <c r="F6" s="27"/>
      <c r="G6" s="27"/>
      <c r="H6" s="27"/>
      <c r="I6" s="27"/>
      <c r="J6" s="27"/>
      <c r="K6" s="27"/>
      <c r="L6" s="27"/>
      <c r="M6" s="27"/>
      <c r="N6" s="27"/>
      <c r="O6" s="27"/>
      <c r="P6" s="27"/>
      <c r="Q6" s="27"/>
      <c r="R6" s="27"/>
      <c r="S6" s="27"/>
      <c r="T6" s="27"/>
      <c r="U6" s="27"/>
      <c r="V6" s="27"/>
      <c r="W6" s="27"/>
    </row>
    <row r="7" spans="1:33" ht="14.5" x14ac:dyDescent="0.35">
      <c r="A7" s="23"/>
      <c r="B7" s="2" t="s">
        <v>589</v>
      </c>
      <c r="C7" s="30" t="s">
        <v>1087</v>
      </c>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row>
    <row r="8" spans="1:33" x14ac:dyDescent="0.3">
      <c r="A8" s="23"/>
      <c r="B8" s="1"/>
      <c r="C8" s="1"/>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row>
    <row r="9" spans="1:33" ht="14.5" x14ac:dyDescent="0.35">
      <c r="A9" s="3" t="s">
        <v>590</v>
      </c>
      <c r="B9" s="11" t="s">
        <v>591</v>
      </c>
      <c r="C9" s="1"/>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row>
    <row r="10" spans="1:33" ht="14.5" x14ac:dyDescent="0.35">
      <c r="A10" s="3" t="s">
        <v>592</v>
      </c>
      <c r="B10" s="11" t="s">
        <v>593</v>
      </c>
      <c r="C10" s="1"/>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row>
    <row r="11" spans="1:33" ht="14.5" x14ac:dyDescent="0.35">
      <c r="A11" s="3" t="s">
        <v>594</v>
      </c>
      <c r="B11" s="11" t="s">
        <v>595</v>
      </c>
      <c r="C11" s="1"/>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row>
    <row r="12" spans="1:33" ht="14.5" x14ac:dyDescent="0.35">
      <c r="A12" s="3" t="s">
        <v>596</v>
      </c>
      <c r="B12" s="11" t="s">
        <v>601</v>
      </c>
      <c r="C12" s="1"/>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row>
    <row r="13" spans="1:33" ht="14.5" x14ac:dyDescent="0.35">
      <c r="A13" s="3" t="s">
        <v>598</v>
      </c>
      <c r="B13" s="11" t="s">
        <v>605</v>
      </c>
      <c r="C13" s="1"/>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row>
    <row r="14" spans="1:33" ht="14.5" x14ac:dyDescent="0.35">
      <c r="A14" s="3" t="s">
        <v>600</v>
      </c>
      <c r="B14" s="11" t="s">
        <v>597</v>
      </c>
      <c r="C14" s="1"/>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row>
    <row r="15" spans="1:33" ht="14.5" x14ac:dyDescent="0.35">
      <c r="A15" s="3" t="s">
        <v>602</v>
      </c>
      <c r="B15" s="11" t="s">
        <v>599</v>
      </c>
      <c r="C15" s="1"/>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row>
    <row r="16" spans="1:33" ht="14.5" x14ac:dyDescent="0.35">
      <c r="A16" s="3" t="s">
        <v>604</v>
      </c>
      <c r="B16" s="11" t="s">
        <v>603</v>
      </c>
      <c r="C16" s="1"/>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row>
    <row r="17" spans="1:33" ht="14.5" x14ac:dyDescent="0.35">
      <c r="A17" s="3" t="s">
        <v>606</v>
      </c>
      <c r="B17" s="11" t="s">
        <v>607</v>
      </c>
      <c r="C17" s="1"/>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row>
    <row r="18" spans="1:33" ht="14.5" x14ac:dyDescent="0.35">
      <c r="A18" s="3" t="s">
        <v>1043</v>
      </c>
      <c r="B18" s="22" t="s">
        <v>1086</v>
      </c>
      <c r="C18" s="1"/>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row>
    <row r="19" spans="1:33" x14ac:dyDescent="0.3">
      <c r="A19" s="3"/>
      <c r="B19" s="31"/>
      <c r="C19" s="31"/>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row>
    <row r="20" spans="1:33" ht="14.5" x14ac:dyDescent="0.35">
      <c r="A20" s="23"/>
      <c r="B20" s="32" t="s">
        <v>953</v>
      </c>
      <c r="C20" s="31"/>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row>
    <row r="21" spans="1:33" x14ac:dyDescent="0.3">
      <c r="A21" s="23"/>
      <c r="B21" s="33" t="s">
        <v>954</v>
      </c>
      <c r="C21" s="34"/>
      <c r="D21" s="35"/>
      <c r="E21" s="36" t="str">
        <f>C7</f>
        <v>December 2025</v>
      </c>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row>
    <row r="22" spans="1:33" x14ac:dyDescent="0.3">
      <c r="A22" s="23"/>
      <c r="B22" s="33" t="s">
        <v>1133</v>
      </c>
      <c r="C22" s="34"/>
      <c r="D22" s="37"/>
      <c r="E22" s="37"/>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row>
    <row r="23" spans="1:33" hidden="1" x14ac:dyDescent="0.3">
      <c r="A23" s="23"/>
      <c r="B23" s="37" t="s">
        <v>608</v>
      </c>
      <c r="C23" s="38">
        <v>83.453400000000002</v>
      </c>
      <c r="D23" s="37" t="s">
        <v>609</v>
      </c>
      <c r="E23" s="37" t="s">
        <v>610</v>
      </c>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row>
    <row r="24" spans="1:33" hidden="1" x14ac:dyDescent="0.3">
      <c r="A24" s="23"/>
      <c r="B24" s="37"/>
      <c r="C24" s="37"/>
      <c r="D24" s="39" t="s">
        <v>611</v>
      </c>
      <c r="E24" s="37"/>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row>
    <row r="25" spans="1:33" x14ac:dyDescent="0.3">
      <c r="A25" s="23"/>
      <c r="B25" s="33"/>
      <c r="C25" s="37"/>
      <c r="D25" s="37"/>
      <c r="E25" s="37"/>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row>
    <row r="26" spans="1:33"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row>
    <row r="27" spans="1:33"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row>
    <row r="28" spans="1:33"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row>
    <row r="29" spans="1:33"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row>
    <row r="30" spans="1:33"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row>
    <row r="31" spans="1:33"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row>
    <row r="32" spans="1:33"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row>
    <row r="33" spans="1:33"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row>
    <row r="34" spans="1:33"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row>
    <row r="35" spans="1:33"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row>
    <row r="36" spans="1:33"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row>
    <row r="37" spans="1:33"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row>
    <row r="38" spans="1:33"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row>
    <row r="39" spans="1:33"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row>
    <row r="40" spans="1:33"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row>
    <row r="41" spans="1:33"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row>
    <row r="42" spans="1:33"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row>
    <row r="43" spans="1:33"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row>
    <row r="44" spans="1:33"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row>
    <row r="45" spans="1:33"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row>
    <row r="46" spans="1:33"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row>
    <row r="47" spans="1:33"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row>
    <row r="48" spans="1:33"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row>
    <row r="49" spans="1:33"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row>
    <row r="50" spans="1:33"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row>
    <row r="51" spans="1:33"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row>
    <row r="52" spans="1:33"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row>
    <row r="53" spans="1:33"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row>
    <row r="54" spans="1:33"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row>
    <row r="55" spans="1:33"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row>
    <row r="56" spans="1:33"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row>
    <row r="57" spans="1:33"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row>
    <row r="58" spans="1:33"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row>
    <row r="59" spans="1:33"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row>
    <row r="60" spans="1:33"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row>
    <row r="61" spans="1:33"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row>
    <row r="62" spans="1:33"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row>
    <row r="63" spans="1:33"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row>
    <row r="64" spans="1:33"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row>
    <row r="65" spans="1:33"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row>
    <row r="66" spans="1:33"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row>
    <row r="67" spans="1:33"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row>
    <row r="68" spans="1:33"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row>
    <row r="69" spans="1:33"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row>
    <row r="70" spans="1:33"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row>
    <row r="71" spans="1:33"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row>
    <row r="72" spans="1:33"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row>
    <row r="73" spans="1:33"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row>
    <row r="74" spans="1:33"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row>
    <row r="75" spans="1:33"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row>
    <row r="76" spans="1:33"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row>
    <row r="77" spans="1:33"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row>
    <row r="78" spans="1:33"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row>
    <row r="79" spans="1:33"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row>
    <row r="80" spans="1:33"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row>
    <row r="81" spans="1:33" x14ac:dyDescent="0.3">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row>
    <row r="82" spans="1:33" x14ac:dyDescent="0.3">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row>
    <row r="83" spans="1:33"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row>
    <row r="84" spans="1:33" x14ac:dyDescent="0.3">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row>
    <row r="85" spans="1:33" x14ac:dyDescent="0.3">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row>
    <row r="86" spans="1:33" x14ac:dyDescent="0.3">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row>
    <row r="87" spans="1:33" x14ac:dyDescent="0.3">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row>
    <row r="88" spans="1:33" x14ac:dyDescent="0.3">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row>
    <row r="89" spans="1:33" x14ac:dyDescent="0.3">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row>
    <row r="90" spans="1:33" x14ac:dyDescent="0.3">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row>
    <row r="91" spans="1:33" x14ac:dyDescent="0.3">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row>
    <row r="92" spans="1:33" x14ac:dyDescent="0.3">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row>
    <row r="93" spans="1:33" x14ac:dyDescent="0.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row>
    <row r="94" spans="1:33" x14ac:dyDescent="0.3">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row>
    <row r="95" spans="1:33"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row>
    <row r="96" spans="1:33" x14ac:dyDescent="0.3">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row>
    <row r="97" spans="1:33" x14ac:dyDescent="0.3">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row>
    <row r="98" spans="1:33" x14ac:dyDescent="0.3">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row>
    <row r="99" spans="1:33" x14ac:dyDescent="0.3">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row>
    <row r="100" spans="1:33" x14ac:dyDescent="0.3">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row>
    <row r="101" spans="1:33" x14ac:dyDescent="0.3">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row>
    <row r="102" spans="1:33" x14ac:dyDescent="0.3">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row>
    <row r="103" spans="1:33" x14ac:dyDescent="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row>
    <row r="104" spans="1:33" x14ac:dyDescent="0.3">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row>
    <row r="105" spans="1:33" x14ac:dyDescent="0.3">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row>
    <row r="106" spans="1:33" x14ac:dyDescent="0.3">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row>
    <row r="107" spans="1:33" x14ac:dyDescent="0.3">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row>
    <row r="108" spans="1:33" x14ac:dyDescent="0.3">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row>
    <row r="109" spans="1:33" x14ac:dyDescent="0.3">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row>
    <row r="110" spans="1:33" x14ac:dyDescent="0.3">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row>
    <row r="111" spans="1:33" x14ac:dyDescent="0.3">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row>
    <row r="112" spans="1:33" x14ac:dyDescent="0.3">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row>
    <row r="113" spans="1:33" x14ac:dyDescent="0.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row>
    <row r="114" spans="1:33" x14ac:dyDescent="0.3">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row>
    <row r="115" spans="1:33" x14ac:dyDescent="0.3">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row>
    <row r="116" spans="1:33" x14ac:dyDescent="0.3">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row>
    <row r="117" spans="1:33" x14ac:dyDescent="0.3">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row>
    <row r="118" spans="1:33" x14ac:dyDescent="0.3">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row>
    <row r="119" spans="1:33" x14ac:dyDescent="0.3">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row>
    <row r="120" spans="1:33" x14ac:dyDescent="0.3">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row>
    <row r="121" spans="1:33" x14ac:dyDescent="0.3">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row>
    <row r="122" spans="1:33" x14ac:dyDescent="0.3">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row>
    <row r="123" spans="1:33" x14ac:dyDescent="0.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row>
    <row r="124" spans="1:33" x14ac:dyDescent="0.3">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row>
    <row r="125" spans="1:33" x14ac:dyDescent="0.3">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row>
    <row r="126" spans="1:33" x14ac:dyDescent="0.3">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row>
    <row r="127" spans="1:33" x14ac:dyDescent="0.3">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row>
    <row r="128" spans="1:33" x14ac:dyDescent="0.3">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row>
    <row r="129" spans="1:33" x14ac:dyDescent="0.3">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row>
    <row r="130" spans="1:33" x14ac:dyDescent="0.3">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row>
    <row r="131" spans="1:33" x14ac:dyDescent="0.3">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row>
    <row r="132" spans="1:33" x14ac:dyDescent="0.3">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row>
    <row r="133" spans="1:33" x14ac:dyDescent="0.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row>
    <row r="134" spans="1:33" x14ac:dyDescent="0.3">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row>
    <row r="135" spans="1:33" x14ac:dyDescent="0.3">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row>
    <row r="136" spans="1:33" x14ac:dyDescent="0.3">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row>
    <row r="137" spans="1:33" x14ac:dyDescent="0.3">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row>
    <row r="138" spans="1:33" x14ac:dyDescent="0.3">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row>
    <row r="139" spans="1:33" x14ac:dyDescent="0.3">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row>
    <row r="140" spans="1:33" x14ac:dyDescent="0.3">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row>
    <row r="141" spans="1:33" x14ac:dyDescent="0.3">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row>
    <row r="142" spans="1:33" x14ac:dyDescent="0.3">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row>
    <row r="143" spans="1:33" x14ac:dyDescent="0.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row>
    <row r="144" spans="1:33" x14ac:dyDescent="0.3">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row>
    <row r="145" spans="1:33" x14ac:dyDescent="0.3">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row>
    <row r="146" spans="1:33" x14ac:dyDescent="0.3">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row>
    <row r="147" spans="1:33" x14ac:dyDescent="0.3">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row>
    <row r="148" spans="1:33" x14ac:dyDescent="0.3">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row>
    <row r="149" spans="1:33" x14ac:dyDescent="0.3">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row>
    <row r="150" spans="1:33" x14ac:dyDescent="0.3">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row>
    <row r="151" spans="1:33" x14ac:dyDescent="0.3">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row>
    <row r="152" spans="1:33" x14ac:dyDescent="0.3">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row>
    <row r="153" spans="1:33" x14ac:dyDescent="0.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row>
    <row r="154" spans="1:33" x14ac:dyDescent="0.3">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row>
    <row r="155" spans="1:33" x14ac:dyDescent="0.3">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row>
    <row r="156" spans="1:33" x14ac:dyDescent="0.3">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row>
    <row r="157" spans="1:33" x14ac:dyDescent="0.3">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row>
    <row r="158" spans="1:33" x14ac:dyDescent="0.3">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row>
    <row r="159" spans="1:33" x14ac:dyDescent="0.3">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row>
    <row r="160" spans="1:33" x14ac:dyDescent="0.3">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row>
    <row r="161" spans="1:33" x14ac:dyDescent="0.3">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row>
    <row r="162" spans="1:33" x14ac:dyDescent="0.3">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row>
    <row r="163" spans="1:33" x14ac:dyDescent="0.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row>
    <row r="164" spans="1:33" x14ac:dyDescent="0.3">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row>
    <row r="165" spans="1:33" x14ac:dyDescent="0.3">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row>
    <row r="166" spans="1:33" x14ac:dyDescent="0.3">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row>
    <row r="167" spans="1:33" x14ac:dyDescent="0.3">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row>
    <row r="168" spans="1:33" x14ac:dyDescent="0.3">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row>
    <row r="169" spans="1:33" x14ac:dyDescent="0.3">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row>
    <row r="170" spans="1:33" x14ac:dyDescent="0.3">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row>
    <row r="171" spans="1:33" x14ac:dyDescent="0.3">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row>
    <row r="172" spans="1:33" x14ac:dyDescent="0.3">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row>
    <row r="173" spans="1:33" x14ac:dyDescent="0.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row>
    <row r="174" spans="1:33" x14ac:dyDescent="0.3">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row>
    <row r="175" spans="1:33" x14ac:dyDescent="0.3">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row>
    <row r="176" spans="1:33" x14ac:dyDescent="0.3">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row>
    <row r="177" spans="1:33" x14ac:dyDescent="0.3">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row>
    <row r="178" spans="1:33" x14ac:dyDescent="0.3">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row>
    <row r="179" spans="1:33" x14ac:dyDescent="0.3">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row>
    <row r="180" spans="1:33" x14ac:dyDescent="0.3">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row>
    <row r="181" spans="1:33" x14ac:dyDescent="0.3">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row>
    <row r="182" spans="1:33" x14ac:dyDescent="0.3">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row>
    <row r="183" spans="1:33" x14ac:dyDescent="0.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row>
    <row r="184" spans="1:33" x14ac:dyDescent="0.3">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row>
    <row r="185" spans="1:33" x14ac:dyDescent="0.3">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row>
    <row r="186" spans="1:33" x14ac:dyDescent="0.3">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row>
    <row r="187" spans="1:33" x14ac:dyDescent="0.3">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row>
    <row r="188" spans="1:33" x14ac:dyDescent="0.3">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row>
    <row r="189" spans="1:33" x14ac:dyDescent="0.3">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row>
    <row r="190" spans="1:33" x14ac:dyDescent="0.3">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row>
    <row r="191" spans="1:33" x14ac:dyDescent="0.3">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row>
    <row r="192" spans="1:33" x14ac:dyDescent="0.3">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row>
    <row r="193" spans="1:33" x14ac:dyDescent="0.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row>
    <row r="194" spans="1:33" x14ac:dyDescent="0.3">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row>
    <row r="195" spans="1:33" x14ac:dyDescent="0.3">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row>
    <row r="196" spans="1:33" x14ac:dyDescent="0.3">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row>
    <row r="197" spans="1:33" x14ac:dyDescent="0.3">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row>
    <row r="198" spans="1:33" x14ac:dyDescent="0.3">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row>
    <row r="199" spans="1:33" x14ac:dyDescent="0.3">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row>
    <row r="200" spans="1:33" x14ac:dyDescent="0.3">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row>
    <row r="201" spans="1:33" x14ac:dyDescent="0.3">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row>
    <row r="202" spans="1:33" x14ac:dyDescent="0.3">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row>
    <row r="203" spans="1:33" x14ac:dyDescent="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row>
    <row r="204" spans="1:33" x14ac:dyDescent="0.3">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row>
    <row r="205" spans="1:33" x14ac:dyDescent="0.3">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row>
    <row r="206" spans="1:33" x14ac:dyDescent="0.3">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row>
    <row r="207" spans="1:33" x14ac:dyDescent="0.3">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row>
    <row r="208" spans="1:33" x14ac:dyDescent="0.3">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row>
    <row r="209" spans="1:33" x14ac:dyDescent="0.3">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row>
    <row r="210" spans="1:33" x14ac:dyDescent="0.3">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row>
    <row r="211" spans="1:33" x14ac:dyDescent="0.3">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row>
    <row r="212" spans="1:33" x14ac:dyDescent="0.3">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row>
    <row r="213" spans="1:33" x14ac:dyDescent="0.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row>
    <row r="214" spans="1:33" x14ac:dyDescent="0.3">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row>
    <row r="215" spans="1:33" x14ac:dyDescent="0.3">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row>
    <row r="216" spans="1:33" x14ac:dyDescent="0.3">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row>
    <row r="217" spans="1:33" x14ac:dyDescent="0.3">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row>
    <row r="218" spans="1:33" x14ac:dyDescent="0.3">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row>
    <row r="219" spans="1:33" x14ac:dyDescent="0.3">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row>
    <row r="220" spans="1:33" x14ac:dyDescent="0.3">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row>
    <row r="221" spans="1:33" x14ac:dyDescent="0.3">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row>
    <row r="222" spans="1:33" x14ac:dyDescent="0.3">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row>
    <row r="223" spans="1:33" x14ac:dyDescent="0.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row>
    <row r="224" spans="1:33" x14ac:dyDescent="0.3">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row>
    <row r="225" spans="1:33" x14ac:dyDescent="0.3">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row>
    <row r="226" spans="1:33" x14ac:dyDescent="0.3">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row>
    <row r="227" spans="1:33" x14ac:dyDescent="0.3">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row>
    <row r="228" spans="1:33" x14ac:dyDescent="0.3">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row>
    <row r="229" spans="1:33" x14ac:dyDescent="0.3">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row>
    <row r="230" spans="1:33" x14ac:dyDescent="0.3">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row>
    <row r="231" spans="1:33" x14ac:dyDescent="0.3">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row>
    <row r="232" spans="1:33" x14ac:dyDescent="0.3">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row>
    <row r="233" spans="1:33" x14ac:dyDescent="0.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row>
    <row r="234" spans="1:33" x14ac:dyDescent="0.3">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row>
    <row r="235" spans="1:33" x14ac:dyDescent="0.3">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row>
    <row r="236" spans="1:33" x14ac:dyDescent="0.3">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row>
    <row r="237" spans="1:33" x14ac:dyDescent="0.3">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row>
    <row r="238" spans="1:33" x14ac:dyDescent="0.3">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row>
    <row r="239" spans="1:33" x14ac:dyDescent="0.3">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row>
    <row r="240" spans="1:33" x14ac:dyDescent="0.3">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row>
    <row r="241" spans="1:33" x14ac:dyDescent="0.3">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row>
    <row r="242" spans="1:33" x14ac:dyDescent="0.3">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row>
    <row r="243" spans="1:33" x14ac:dyDescent="0.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row>
    <row r="244" spans="1:33" x14ac:dyDescent="0.3">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row>
    <row r="245" spans="1:33" x14ac:dyDescent="0.3">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row>
    <row r="246" spans="1:33" x14ac:dyDescent="0.3">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row>
    <row r="247" spans="1:33" x14ac:dyDescent="0.3">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row>
    <row r="248" spans="1:33" x14ac:dyDescent="0.3">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row>
    <row r="249" spans="1:33" x14ac:dyDescent="0.3">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row>
    <row r="250" spans="1:33" x14ac:dyDescent="0.3">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row>
    <row r="251" spans="1:33" x14ac:dyDescent="0.3">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row>
    <row r="252" spans="1:33" x14ac:dyDescent="0.3">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row>
    <row r="253" spans="1:33" x14ac:dyDescent="0.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row>
    <row r="254" spans="1:33" x14ac:dyDescent="0.3">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row>
    <row r="255" spans="1:33" x14ac:dyDescent="0.3">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row>
    <row r="256" spans="1:33" x14ac:dyDescent="0.3">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row>
    <row r="257" spans="1:33" x14ac:dyDescent="0.3">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row>
    <row r="258" spans="1:33" x14ac:dyDescent="0.3">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row>
    <row r="259" spans="1:33" x14ac:dyDescent="0.3">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row>
    <row r="260" spans="1:33" x14ac:dyDescent="0.3">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row>
    <row r="261" spans="1:33" x14ac:dyDescent="0.3">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row>
    <row r="262" spans="1:33" x14ac:dyDescent="0.3">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row>
    <row r="263" spans="1:33" x14ac:dyDescent="0.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row>
    <row r="264" spans="1:33" x14ac:dyDescent="0.3">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row>
    <row r="265" spans="1:33" x14ac:dyDescent="0.3">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row>
    <row r="266" spans="1:33" x14ac:dyDescent="0.3">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row>
    <row r="267" spans="1:33" x14ac:dyDescent="0.3">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row>
    <row r="268" spans="1:33" x14ac:dyDescent="0.3">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row>
    <row r="269" spans="1:33" x14ac:dyDescent="0.3">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row>
    <row r="270" spans="1:33" x14ac:dyDescent="0.3">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row>
    <row r="271" spans="1:33" x14ac:dyDescent="0.3">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row>
    <row r="272" spans="1:33" x14ac:dyDescent="0.3">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row>
    <row r="273" spans="1:33" x14ac:dyDescent="0.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row>
    <row r="274" spans="1:33" x14ac:dyDescent="0.3">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row>
    <row r="275" spans="1:33" x14ac:dyDescent="0.3">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row>
    <row r="276" spans="1:33" x14ac:dyDescent="0.3">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row>
    <row r="277" spans="1:33" x14ac:dyDescent="0.3">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row>
    <row r="278" spans="1:33" x14ac:dyDescent="0.3">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row>
    <row r="279" spans="1:33" x14ac:dyDescent="0.3">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row>
    <row r="280" spans="1:33" x14ac:dyDescent="0.3">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row>
    <row r="281" spans="1:33" x14ac:dyDescent="0.3">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row>
    <row r="282" spans="1:33" x14ac:dyDescent="0.3">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row>
    <row r="283" spans="1:33" x14ac:dyDescent="0.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row>
    <row r="284" spans="1:33" x14ac:dyDescent="0.3">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row>
    <row r="285" spans="1:33" x14ac:dyDescent="0.3">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row>
    <row r="286" spans="1:33" x14ac:dyDescent="0.3">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row>
    <row r="287" spans="1:33" x14ac:dyDescent="0.3">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row>
    <row r="288" spans="1:33" x14ac:dyDescent="0.3">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row>
    <row r="289" spans="1:33" x14ac:dyDescent="0.3">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row>
    <row r="290" spans="1:33" x14ac:dyDescent="0.3">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row>
    <row r="291" spans="1:33" x14ac:dyDescent="0.3">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row>
    <row r="292" spans="1:33" x14ac:dyDescent="0.3">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row>
    <row r="293" spans="1:33" x14ac:dyDescent="0.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row>
    <row r="294" spans="1:33" x14ac:dyDescent="0.3">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row>
    <row r="295" spans="1:33" x14ac:dyDescent="0.3">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row>
    <row r="296" spans="1:33" x14ac:dyDescent="0.3">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row>
    <row r="297" spans="1:33" x14ac:dyDescent="0.3">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row>
    <row r="298" spans="1:33" x14ac:dyDescent="0.3">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row>
    <row r="299" spans="1:33" x14ac:dyDescent="0.3">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row>
    <row r="300" spans="1:33" x14ac:dyDescent="0.3">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row>
    <row r="301" spans="1:33" x14ac:dyDescent="0.3">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row>
    <row r="302" spans="1:33" x14ac:dyDescent="0.3">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row>
    <row r="303" spans="1:33" x14ac:dyDescent="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row>
    <row r="304" spans="1:33" x14ac:dyDescent="0.3">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row>
    <row r="305" spans="1:33" x14ac:dyDescent="0.3">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row>
    <row r="306" spans="1:33" x14ac:dyDescent="0.3">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row>
    <row r="307" spans="1:33" x14ac:dyDescent="0.3">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row>
    <row r="308" spans="1:33" x14ac:dyDescent="0.3">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row>
    <row r="309" spans="1:33" x14ac:dyDescent="0.3">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row>
    <row r="310" spans="1:33" x14ac:dyDescent="0.3">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row>
    <row r="311" spans="1:33" x14ac:dyDescent="0.3">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row>
    <row r="312" spans="1:33" x14ac:dyDescent="0.3">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row>
    <row r="313" spans="1:33" x14ac:dyDescent="0.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row>
    <row r="314" spans="1:33" x14ac:dyDescent="0.3">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row>
    <row r="315" spans="1:33" x14ac:dyDescent="0.3">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row>
    <row r="316" spans="1:33" x14ac:dyDescent="0.3">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row>
    <row r="317" spans="1:33" x14ac:dyDescent="0.3">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row>
    <row r="318" spans="1:33" x14ac:dyDescent="0.3">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row>
    <row r="319" spans="1:33" x14ac:dyDescent="0.3">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row>
    <row r="320" spans="1:33" x14ac:dyDescent="0.3">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row>
    <row r="321" spans="1:33" x14ac:dyDescent="0.3">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row>
    <row r="322" spans="1:33" x14ac:dyDescent="0.3">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row>
    <row r="323" spans="1:33" x14ac:dyDescent="0.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row>
    <row r="324" spans="1:33" x14ac:dyDescent="0.3">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row>
    <row r="325" spans="1:33" x14ac:dyDescent="0.3">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row>
    <row r="326" spans="1:33" x14ac:dyDescent="0.3">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row>
    <row r="327" spans="1:33" x14ac:dyDescent="0.3">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row>
    <row r="328" spans="1:33" x14ac:dyDescent="0.3">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row>
    <row r="329" spans="1:33" x14ac:dyDescent="0.3">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row>
    <row r="330" spans="1:33" x14ac:dyDescent="0.3">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row>
    <row r="331" spans="1:33" x14ac:dyDescent="0.3">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row>
    <row r="332" spans="1:33" x14ac:dyDescent="0.3">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row>
    <row r="333" spans="1:33" x14ac:dyDescent="0.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row>
    <row r="334" spans="1:33" x14ac:dyDescent="0.3">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row>
    <row r="335" spans="1:33" x14ac:dyDescent="0.3">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row>
    <row r="336" spans="1:33" x14ac:dyDescent="0.3">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row>
    <row r="337" spans="1:33" x14ac:dyDescent="0.3">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row>
    <row r="338" spans="1:33" x14ac:dyDescent="0.3">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row>
    <row r="339" spans="1:33" x14ac:dyDescent="0.3">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row>
    <row r="340" spans="1:33" x14ac:dyDescent="0.3">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row>
    <row r="341" spans="1:33" x14ac:dyDescent="0.3">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row>
    <row r="342" spans="1:33" x14ac:dyDescent="0.3">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row>
    <row r="343" spans="1:33" x14ac:dyDescent="0.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row>
    <row r="344" spans="1:33" x14ac:dyDescent="0.3">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row>
    <row r="345" spans="1:33" x14ac:dyDescent="0.3">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row>
    <row r="346" spans="1:33" x14ac:dyDescent="0.3">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row>
    <row r="347" spans="1:33" x14ac:dyDescent="0.3">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row>
    <row r="348" spans="1:33" x14ac:dyDescent="0.3">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row>
    <row r="349" spans="1:33" x14ac:dyDescent="0.3">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row>
    <row r="350" spans="1:33" x14ac:dyDescent="0.3">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row>
    <row r="351" spans="1:33" x14ac:dyDescent="0.3">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row>
    <row r="352" spans="1:33" x14ac:dyDescent="0.3">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row>
    <row r="353" spans="1:33" x14ac:dyDescent="0.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row>
    <row r="354" spans="1:33" x14ac:dyDescent="0.3">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row>
    <row r="355" spans="1:33" x14ac:dyDescent="0.3">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row>
    <row r="356" spans="1:33" x14ac:dyDescent="0.3">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row>
    <row r="357" spans="1:33" x14ac:dyDescent="0.3">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row>
    <row r="358" spans="1:33" x14ac:dyDescent="0.3">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row>
    <row r="359" spans="1:33" x14ac:dyDescent="0.3">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row>
    <row r="360" spans="1:33" x14ac:dyDescent="0.3">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row>
    <row r="361" spans="1:33" x14ac:dyDescent="0.3">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row>
    <row r="362" spans="1:33" x14ac:dyDescent="0.3">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row>
    <row r="363" spans="1:33" x14ac:dyDescent="0.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row>
    <row r="364" spans="1:33" x14ac:dyDescent="0.3">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row>
    <row r="365" spans="1:33" x14ac:dyDescent="0.3">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row>
    <row r="366" spans="1:33" x14ac:dyDescent="0.3">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row>
    <row r="367" spans="1:33" x14ac:dyDescent="0.3">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row>
    <row r="368" spans="1:33" x14ac:dyDescent="0.3">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row>
    <row r="369" spans="1:33" x14ac:dyDescent="0.3">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row>
    <row r="370" spans="1:33" x14ac:dyDescent="0.3">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row>
    <row r="371" spans="1:33" x14ac:dyDescent="0.3">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row>
    <row r="372" spans="1:33" x14ac:dyDescent="0.3">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row>
    <row r="373" spans="1:33" x14ac:dyDescent="0.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row>
    <row r="374" spans="1:33" x14ac:dyDescent="0.3">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row>
    <row r="375" spans="1:33" x14ac:dyDescent="0.3">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row>
    <row r="376" spans="1:33" x14ac:dyDescent="0.3">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row>
    <row r="377" spans="1:33" x14ac:dyDescent="0.3">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row>
    <row r="378" spans="1:33" x14ac:dyDescent="0.3">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row>
    <row r="379" spans="1:33" x14ac:dyDescent="0.3">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row>
    <row r="380" spans="1:33" x14ac:dyDescent="0.3">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row>
    <row r="381" spans="1:33" x14ac:dyDescent="0.3">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row>
    <row r="382" spans="1:33" x14ac:dyDescent="0.3">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row>
    <row r="383" spans="1:33" x14ac:dyDescent="0.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row>
    <row r="384" spans="1:33" x14ac:dyDescent="0.3">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row>
    <row r="385" spans="1:33" x14ac:dyDescent="0.3">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row>
    <row r="386" spans="1:33" x14ac:dyDescent="0.3">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row>
    <row r="387" spans="1:33" x14ac:dyDescent="0.3">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row>
    <row r="388" spans="1:33" x14ac:dyDescent="0.3">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row>
    <row r="389" spans="1:33" x14ac:dyDescent="0.3">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row>
    <row r="390" spans="1:33" x14ac:dyDescent="0.3">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row>
    <row r="391" spans="1:33" x14ac:dyDescent="0.3">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row>
    <row r="392" spans="1:33" x14ac:dyDescent="0.3">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row>
    <row r="393" spans="1:33" x14ac:dyDescent="0.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row>
    <row r="394" spans="1:33" x14ac:dyDescent="0.3">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row>
    <row r="395" spans="1:33" x14ac:dyDescent="0.3">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row>
    <row r="396" spans="1:33" x14ac:dyDescent="0.3">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row>
    <row r="397" spans="1:33" x14ac:dyDescent="0.3">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row>
    <row r="398" spans="1:33" x14ac:dyDescent="0.3">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row>
    <row r="399" spans="1:33" x14ac:dyDescent="0.3">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row>
    <row r="400" spans="1:33" x14ac:dyDescent="0.3">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row>
    <row r="401" spans="1:33" x14ac:dyDescent="0.3">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row>
    <row r="402" spans="1:33" x14ac:dyDescent="0.3">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row>
    <row r="403" spans="1:33" x14ac:dyDescent="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row>
    <row r="404" spans="1:33" x14ac:dyDescent="0.3">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row>
    <row r="405" spans="1:33" x14ac:dyDescent="0.3">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row>
    <row r="406" spans="1:33" x14ac:dyDescent="0.3">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row>
    <row r="407" spans="1:33" x14ac:dyDescent="0.3">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row>
    <row r="408" spans="1:33" x14ac:dyDescent="0.3">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row>
    <row r="409" spans="1:33" x14ac:dyDescent="0.3">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row>
    <row r="410" spans="1:33" x14ac:dyDescent="0.3">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row>
    <row r="411" spans="1:33" x14ac:dyDescent="0.3">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row>
    <row r="412" spans="1:33" x14ac:dyDescent="0.3">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row>
    <row r="413" spans="1:33" x14ac:dyDescent="0.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row>
    <row r="414" spans="1:33" x14ac:dyDescent="0.3">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row>
    <row r="415" spans="1:33" x14ac:dyDescent="0.3">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row>
    <row r="416" spans="1:33" x14ac:dyDescent="0.3">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row>
    <row r="417" spans="1:33" x14ac:dyDescent="0.3">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row>
    <row r="418" spans="1:33" x14ac:dyDescent="0.3">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row>
    <row r="419" spans="1:33" x14ac:dyDescent="0.3">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row>
    <row r="420" spans="1:33" x14ac:dyDescent="0.3">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row>
    <row r="421" spans="1:33" x14ac:dyDescent="0.3">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row>
    <row r="422" spans="1:33" x14ac:dyDescent="0.3">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row>
    <row r="423" spans="1:33" x14ac:dyDescent="0.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row>
    <row r="424" spans="1:33" x14ac:dyDescent="0.3">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row>
    <row r="425" spans="1:33" x14ac:dyDescent="0.3">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row>
    <row r="426" spans="1:33" x14ac:dyDescent="0.3">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row>
    <row r="427" spans="1:33" x14ac:dyDescent="0.3">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row>
    <row r="428" spans="1:33" x14ac:dyDescent="0.3">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row>
    <row r="429" spans="1:33" x14ac:dyDescent="0.3">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row>
    <row r="430" spans="1:33" x14ac:dyDescent="0.3">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row>
    <row r="431" spans="1:33" x14ac:dyDescent="0.3">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row>
    <row r="432" spans="1:33" x14ac:dyDescent="0.3">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row>
    <row r="433" spans="1:33" x14ac:dyDescent="0.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row>
    <row r="434" spans="1:33" x14ac:dyDescent="0.3">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row>
    <row r="435" spans="1:33" x14ac:dyDescent="0.3">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row>
    <row r="436" spans="1:33" x14ac:dyDescent="0.3">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row>
    <row r="437" spans="1:33" x14ac:dyDescent="0.3">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row>
    <row r="438" spans="1:33" x14ac:dyDescent="0.3">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row>
    <row r="439" spans="1:33" x14ac:dyDescent="0.3">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row>
    <row r="440" spans="1:33" x14ac:dyDescent="0.3">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row>
    <row r="441" spans="1:33" x14ac:dyDescent="0.3">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row>
    <row r="442" spans="1:33" x14ac:dyDescent="0.3">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row>
    <row r="443" spans="1:33" x14ac:dyDescent="0.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row>
    <row r="444" spans="1:33" x14ac:dyDescent="0.3">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row>
    <row r="445" spans="1:33" x14ac:dyDescent="0.3">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row>
    <row r="446" spans="1:33" x14ac:dyDescent="0.3">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row>
    <row r="447" spans="1:33" x14ac:dyDescent="0.3">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row>
    <row r="448" spans="1:33" x14ac:dyDescent="0.3">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row>
    <row r="449" spans="1:33" x14ac:dyDescent="0.3">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row>
    <row r="450" spans="1:33" x14ac:dyDescent="0.3">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row>
    <row r="451" spans="1:33" x14ac:dyDescent="0.3">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row>
    <row r="452" spans="1:33" x14ac:dyDescent="0.3">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row>
    <row r="453" spans="1:33" x14ac:dyDescent="0.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row>
    <row r="454" spans="1:33" x14ac:dyDescent="0.3">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row>
    <row r="455" spans="1:33" x14ac:dyDescent="0.3">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row>
    <row r="456" spans="1:33" x14ac:dyDescent="0.3">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row>
    <row r="457" spans="1:33" x14ac:dyDescent="0.3">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row>
    <row r="458" spans="1:33" x14ac:dyDescent="0.3">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row>
    <row r="459" spans="1:33" x14ac:dyDescent="0.3">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row>
    <row r="460" spans="1:33" x14ac:dyDescent="0.3">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row>
    <row r="461" spans="1:33" x14ac:dyDescent="0.3">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row>
    <row r="462" spans="1:33" x14ac:dyDescent="0.3">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row>
    <row r="463" spans="1:33" x14ac:dyDescent="0.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row>
    <row r="464" spans="1:33" x14ac:dyDescent="0.3">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row>
    <row r="465" spans="1:33" x14ac:dyDescent="0.3">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row>
    <row r="466" spans="1:33" x14ac:dyDescent="0.3">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row>
    <row r="467" spans="1:33" x14ac:dyDescent="0.3">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row>
    <row r="468" spans="1:33" x14ac:dyDescent="0.3">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row>
    <row r="469" spans="1:33" x14ac:dyDescent="0.3">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row>
    <row r="470" spans="1:33" x14ac:dyDescent="0.3">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row>
    <row r="471" spans="1:33" x14ac:dyDescent="0.3">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row>
    <row r="472" spans="1:33" x14ac:dyDescent="0.3">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row>
    <row r="473" spans="1:33" x14ac:dyDescent="0.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row>
    <row r="474" spans="1:33" x14ac:dyDescent="0.3">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row>
    <row r="475" spans="1:33" x14ac:dyDescent="0.3">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row>
    <row r="476" spans="1:33" x14ac:dyDescent="0.3">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row>
    <row r="477" spans="1:33" x14ac:dyDescent="0.3">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row>
    <row r="478" spans="1:33" x14ac:dyDescent="0.3">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row>
    <row r="479" spans="1:33" x14ac:dyDescent="0.3">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row>
    <row r="480" spans="1:33" x14ac:dyDescent="0.3">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row>
    <row r="481" spans="1:33" x14ac:dyDescent="0.3">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row>
    <row r="482" spans="1:33" x14ac:dyDescent="0.3">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row>
    <row r="483" spans="1:33" x14ac:dyDescent="0.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row>
    <row r="484" spans="1:33" x14ac:dyDescent="0.3">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row>
    <row r="485" spans="1:33" x14ac:dyDescent="0.3">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row>
    <row r="486" spans="1:33" x14ac:dyDescent="0.3">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row>
    <row r="487" spans="1:33" x14ac:dyDescent="0.3">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row>
    <row r="488" spans="1:33" x14ac:dyDescent="0.3">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row>
    <row r="489" spans="1:33" x14ac:dyDescent="0.3">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row>
    <row r="490" spans="1:33" x14ac:dyDescent="0.3">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row>
    <row r="491" spans="1:33" x14ac:dyDescent="0.3">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row>
    <row r="492" spans="1:33" x14ac:dyDescent="0.3">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row>
    <row r="493" spans="1:33" x14ac:dyDescent="0.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row>
    <row r="494" spans="1:33" x14ac:dyDescent="0.3">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row>
    <row r="495" spans="1:33" x14ac:dyDescent="0.3">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row>
    <row r="496" spans="1:33" x14ac:dyDescent="0.3">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row>
    <row r="497" spans="1:33" x14ac:dyDescent="0.3">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row>
    <row r="498" spans="1:33" x14ac:dyDescent="0.3">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row>
    <row r="499" spans="1:33" x14ac:dyDescent="0.3">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row>
    <row r="500" spans="1:33" x14ac:dyDescent="0.3">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row>
    <row r="501" spans="1:33" x14ac:dyDescent="0.3">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row>
    <row r="502" spans="1:33" x14ac:dyDescent="0.3">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row>
    <row r="503" spans="1:33" x14ac:dyDescent="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row>
    <row r="504" spans="1:33" x14ac:dyDescent="0.3">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row>
    <row r="505" spans="1:33" x14ac:dyDescent="0.3">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row>
    <row r="506" spans="1:33" x14ac:dyDescent="0.3">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row>
    <row r="507" spans="1:33" x14ac:dyDescent="0.3">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row>
    <row r="508" spans="1:33" x14ac:dyDescent="0.3">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row>
    <row r="509" spans="1:33" x14ac:dyDescent="0.3">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row>
    <row r="510" spans="1:33" x14ac:dyDescent="0.3">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row>
    <row r="511" spans="1:33" x14ac:dyDescent="0.3">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row>
    <row r="512" spans="1:33" x14ac:dyDescent="0.3">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row>
    <row r="513" spans="1:33" x14ac:dyDescent="0.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row>
    <row r="514" spans="1:33" x14ac:dyDescent="0.3">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row>
    <row r="515" spans="1:33" x14ac:dyDescent="0.3">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row>
    <row r="516" spans="1:33" x14ac:dyDescent="0.3">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row>
    <row r="517" spans="1:33" x14ac:dyDescent="0.3">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row>
    <row r="518" spans="1:33" x14ac:dyDescent="0.3">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row>
    <row r="519" spans="1:33" x14ac:dyDescent="0.3">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row>
    <row r="520" spans="1:33" x14ac:dyDescent="0.3">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row>
    <row r="521" spans="1:33" x14ac:dyDescent="0.3">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row>
    <row r="522" spans="1:33" x14ac:dyDescent="0.3">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row>
    <row r="523" spans="1:33" x14ac:dyDescent="0.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row>
    <row r="524" spans="1:33" x14ac:dyDescent="0.3">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row>
    <row r="525" spans="1:33" x14ac:dyDescent="0.3">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row>
    <row r="526" spans="1:33" x14ac:dyDescent="0.3">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row>
    <row r="527" spans="1:33" x14ac:dyDescent="0.3">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row>
    <row r="528" spans="1:33" x14ac:dyDescent="0.3">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row>
    <row r="529" spans="1:33" x14ac:dyDescent="0.3">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row>
    <row r="530" spans="1:33" x14ac:dyDescent="0.3">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row>
    <row r="531" spans="1:33" x14ac:dyDescent="0.3">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row>
    <row r="532" spans="1:33" x14ac:dyDescent="0.3">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row>
    <row r="533" spans="1:33" x14ac:dyDescent="0.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row>
    <row r="534" spans="1:33" x14ac:dyDescent="0.3">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row>
    <row r="535" spans="1:33" x14ac:dyDescent="0.3">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row>
    <row r="536" spans="1:33" x14ac:dyDescent="0.3">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row>
    <row r="537" spans="1:33" x14ac:dyDescent="0.3">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row>
    <row r="538" spans="1:33" x14ac:dyDescent="0.3">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row>
    <row r="539" spans="1:33" x14ac:dyDescent="0.3">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row>
    <row r="540" spans="1:33" x14ac:dyDescent="0.3">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row>
    <row r="541" spans="1:33" x14ac:dyDescent="0.3">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row>
    <row r="542" spans="1:33" x14ac:dyDescent="0.3">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row>
    <row r="543" spans="1:33" x14ac:dyDescent="0.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row>
    <row r="544" spans="1:33" x14ac:dyDescent="0.3">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row>
    <row r="545" spans="1:33" x14ac:dyDescent="0.3">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row>
    <row r="546" spans="1:33" x14ac:dyDescent="0.3">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row>
    <row r="547" spans="1:33" x14ac:dyDescent="0.3">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row>
    <row r="548" spans="1:33" x14ac:dyDescent="0.3">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row>
    <row r="549" spans="1:33" x14ac:dyDescent="0.3">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row>
    <row r="550" spans="1:33" x14ac:dyDescent="0.3">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row>
    <row r="551" spans="1:33" x14ac:dyDescent="0.3">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row>
    <row r="552" spans="1:33" x14ac:dyDescent="0.3">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row>
    <row r="553" spans="1:33" x14ac:dyDescent="0.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row>
    <row r="554" spans="1:33" x14ac:dyDescent="0.3">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row>
    <row r="555" spans="1:33" x14ac:dyDescent="0.3">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row>
    <row r="556" spans="1:33" x14ac:dyDescent="0.3">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row>
    <row r="557" spans="1:33" x14ac:dyDescent="0.3">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row>
    <row r="558" spans="1:33" x14ac:dyDescent="0.3">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row>
    <row r="559" spans="1:33" x14ac:dyDescent="0.3">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row>
    <row r="560" spans="1:33" x14ac:dyDescent="0.3">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row>
    <row r="561" spans="1:33" x14ac:dyDescent="0.3">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row>
    <row r="562" spans="1:33" x14ac:dyDescent="0.3">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row>
    <row r="563" spans="1:33" x14ac:dyDescent="0.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row>
    <row r="564" spans="1:33" x14ac:dyDescent="0.3">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row>
    <row r="565" spans="1:33" x14ac:dyDescent="0.3">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row>
    <row r="566" spans="1:33" x14ac:dyDescent="0.3">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row>
    <row r="567" spans="1:33" x14ac:dyDescent="0.3">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row>
    <row r="568" spans="1:33" x14ac:dyDescent="0.3">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row>
    <row r="569" spans="1:33" x14ac:dyDescent="0.3">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row>
    <row r="570" spans="1:33" x14ac:dyDescent="0.3">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row>
    <row r="571" spans="1:33" x14ac:dyDescent="0.3">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row>
    <row r="572" spans="1:33" x14ac:dyDescent="0.3">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row>
    <row r="573" spans="1:33" x14ac:dyDescent="0.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row>
    <row r="574" spans="1:33" x14ac:dyDescent="0.3">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row>
    <row r="575" spans="1:33" x14ac:dyDescent="0.3">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row>
    <row r="576" spans="1:33" x14ac:dyDescent="0.3">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row>
    <row r="577" spans="1:33" x14ac:dyDescent="0.3">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row>
    <row r="578" spans="1:33" x14ac:dyDescent="0.3">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row>
    <row r="579" spans="1:33" x14ac:dyDescent="0.3">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row>
    <row r="580" spans="1:33" x14ac:dyDescent="0.3">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row>
    <row r="581" spans="1:33" x14ac:dyDescent="0.3">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row>
    <row r="582" spans="1:33" x14ac:dyDescent="0.3">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row>
    <row r="583" spans="1:33" x14ac:dyDescent="0.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row>
    <row r="584" spans="1:33" x14ac:dyDescent="0.3">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row>
    <row r="585" spans="1:33" x14ac:dyDescent="0.3">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row>
    <row r="586" spans="1:33" x14ac:dyDescent="0.3">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row>
    <row r="587" spans="1:33" x14ac:dyDescent="0.3">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row>
    <row r="588" spans="1:33" x14ac:dyDescent="0.3">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row>
    <row r="589" spans="1:33" x14ac:dyDescent="0.3">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row>
    <row r="590" spans="1:33" x14ac:dyDescent="0.3">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row>
    <row r="591" spans="1:33" x14ac:dyDescent="0.3">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row>
    <row r="592" spans="1:33" x14ac:dyDescent="0.3">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row>
    <row r="593" spans="1:33" x14ac:dyDescent="0.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row>
    <row r="594" spans="1:33" x14ac:dyDescent="0.3">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row>
    <row r="595" spans="1:33" x14ac:dyDescent="0.3">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row>
    <row r="596" spans="1:33" x14ac:dyDescent="0.3">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row>
    <row r="597" spans="1:33" x14ac:dyDescent="0.3">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row>
    <row r="598" spans="1:33" x14ac:dyDescent="0.3">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row>
    <row r="599" spans="1:33" x14ac:dyDescent="0.3">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row>
    <row r="600" spans="1:33" x14ac:dyDescent="0.3">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row>
    <row r="601" spans="1:33" x14ac:dyDescent="0.3">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row>
    <row r="602" spans="1:33" x14ac:dyDescent="0.3">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row>
    <row r="603" spans="1:33" x14ac:dyDescent="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row>
    <row r="604" spans="1:33" x14ac:dyDescent="0.3">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row>
    <row r="605" spans="1:33" x14ac:dyDescent="0.3">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row>
    <row r="606" spans="1:33" x14ac:dyDescent="0.3">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row>
    <row r="607" spans="1:33" x14ac:dyDescent="0.3">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row>
    <row r="608" spans="1:33" x14ac:dyDescent="0.3">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row>
    <row r="609" spans="1:33" x14ac:dyDescent="0.3">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row>
    <row r="610" spans="1:33" x14ac:dyDescent="0.3">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row>
    <row r="611" spans="1:33" x14ac:dyDescent="0.3">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row>
    <row r="612" spans="1:33" x14ac:dyDescent="0.3">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row>
    <row r="613" spans="1:33" x14ac:dyDescent="0.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row>
    <row r="614" spans="1:33" x14ac:dyDescent="0.3">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row>
    <row r="615" spans="1:33" x14ac:dyDescent="0.3">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row>
    <row r="616" spans="1:33" x14ac:dyDescent="0.3">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row>
    <row r="617" spans="1:33" x14ac:dyDescent="0.3">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row>
    <row r="618" spans="1:33" x14ac:dyDescent="0.3">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row>
    <row r="619" spans="1:33" x14ac:dyDescent="0.3">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row>
    <row r="620" spans="1:33" x14ac:dyDescent="0.3">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row>
    <row r="621" spans="1:33" x14ac:dyDescent="0.3">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row>
    <row r="622" spans="1:33" x14ac:dyDescent="0.3">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row>
    <row r="623" spans="1:33" x14ac:dyDescent="0.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row>
    <row r="624" spans="1:33" x14ac:dyDescent="0.3">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row>
    <row r="625" spans="1:33" x14ac:dyDescent="0.3">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row>
    <row r="626" spans="1:33" x14ac:dyDescent="0.3">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row>
    <row r="627" spans="1:33" x14ac:dyDescent="0.3">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row>
    <row r="628" spans="1:33" x14ac:dyDescent="0.3">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row>
    <row r="629" spans="1:33" x14ac:dyDescent="0.3">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row>
    <row r="630" spans="1:33" x14ac:dyDescent="0.3">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row>
    <row r="631" spans="1:33" x14ac:dyDescent="0.3">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row>
    <row r="632" spans="1:33" x14ac:dyDescent="0.3">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row>
    <row r="633" spans="1:33" x14ac:dyDescent="0.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row>
    <row r="634" spans="1:33" x14ac:dyDescent="0.3">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row>
    <row r="635" spans="1:33" x14ac:dyDescent="0.3">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row>
    <row r="636" spans="1:33" x14ac:dyDescent="0.3">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row>
    <row r="637" spans="1:33" x14ac:dyDescent="0.3">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row>
    <row r="638" spans="1:33" x14ac:dyDescent="0.3">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row>
    <row r="639" spans="1:33" x14ac:dyDescent="0.3">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row>
    <row r="640" spans="1:33" x14ac:dyDescent="0.3">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row>
    <row r="641" spans="1:33" x14ac:dyDescent="0.3">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row>
    <row r="642" spans="1:33" x14ac:dyDescent="0.3">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row>
    <row r="643" spans="1:33" x14ac:dyDescent="0.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row>
    <row r="644" spans="1:33" x14ac:dyDescent="0.3">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row>
    <row r="645" spans="1:33" x14ac:dyDescent="0.3">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row>
    <row r="646" spans="1:33" x14ac:dyDescent="0.3">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row>
    <row r="647" spans="1:33" x14ac:dyDescent="0.3">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row>
    <row r="648" spans="1:33" x14ac:dyDescent="0.3">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row>
    <row r="649" spans="1:33" x14ac:dyDescent="0.3">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row>
    <row r="650" spans="1:33" x14ac:dyDescent="0.3">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row>
    <row r="651" spans="1:33" x14ac:dyDescent="0.3">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row>
    <row r="652" spans="1:33" x14ac:dyDescent="0.3">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row>
    <row r="653" spans="1:33" x14ac:dyDescent="0.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row>
    <row r="654" spans="1:33" x14ac:dyDescent="0.3">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row>
    <row r="655" spans="1:33" x14ac:dyDescent="0.3">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row>
    <row r="656" spans="1:33" x14ac:dyDescent="0.3">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row>
    <row r="657" spans="1:33" x14ac:dyDescent="0.3">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row>
    <row r="658" spans="1:33" x14ac:dyDescent="0.3">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row>
    <row r="659" spans="1:33" x14ac:dyDescent="0.3">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row>
    <row r="660" spans="1:33" x14ac:dyDescent="0.3">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row>
    <row r="661" spans="1:33" x14ac:dyDescent="0.3">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row>
    <row r="662" spans="1:33" x14ac:dyDescent="0.3">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row>
    <row r="663" spans="1:33" x14ac:dyDescent="0.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row>
    <row r="664" spans="1:33" x14ac:dyDescent="0.3">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row>
    <row r="665" spans="1:33" x14ac:dyDescent="0.3">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row>
    <row r="666" spans="1:33" x14ac:dyDescent="0.3">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row>
    <row r="667" spans="1:33" x14ac:dyDescent="0.3">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row>
    <row r="668" spans="1:33" x14ac:dyDescent="0.3">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row>
    <row r="669" spans="1:33" x14ac:dyDescent="0.3">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row>
    <row r="670" spans="1:33" x14ac:dyDescent="0.3">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row>
    <row r="671" spans="1:33" x14ac:dyDescent="0.3">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row>
    <row r="672" spans="1:33" x14ac:dyDescent="0.3">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row>
    <row r="673" spans="1:33" x14ac:dyDescent="0.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row>
    <row r="674" spans="1:33" x14ac:dyDescent="0.3">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row>
    <row r="675" spans="1:33" x14ac:dyDescent="0.3">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row>
    <row r="676" spans="1:33" x14ac:dyDescent="0.3">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row>
    <row r="677" spans="1:33" x14ac:dyDescent="0.3">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row>
    <row r="678" spans="1:33" x14ac:dyDescent="0.3">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row>
    <row r="679" spans="1:33" x14ac:dyDescent="0.3">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row>
    <row r="680" spans="1:33" x14ac:dyDescent="0.3">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row>
    <row r="681" spans="1:33" x14ac:dyDescent="0.3">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row>
    <row r="682" spans="1:33" x14ac:dyDescent="0.3">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row>
    <row r="683" spans="1:33" x14ac:dyDescent="0.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row>
    <row r="684" spans="1:33" x14ac:dyDescent="0.3">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row>
    <row r="685" spans="1:33" x14ac:dyDescent="0.3">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row>
    <row r="686" spans="1:33" x14ac:dyDescent="0.3">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row>
    <row r="687" spans="1:33" x14ac:dyDescent="0.3">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row>
    <row r="688" spans="1:33" x14ac:dyDescent="0.3">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row>
    <row r="689" spans="1:33" x14ac:dyDescent="0.3">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row>
    <row r="690" spans="1:33" x14ac:dyDescent="0.3">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row>
    <row r="691" spans="1:33" x14ac:dyDescent="0.3">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row>
    <row r="692" spans="1:33" x14ac:dyDescent="0.3">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row>
    <row r="693" spans="1:33" x14ac:dyDescent="0.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row>
    <row r="694" spans="1:33" x14ac:dyDescent="0.3">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row>
    <row r="695" spans="1:33" x14ac:dyDescent="0.3">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row>
    <row r="696" spans="1:33" x14ac:dyDescent="0.3">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row>
    <row r="697" spans="1:33" x14ac:dyDescent="0.3">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row>
    <row r="698" spans="1:33" x14ac:dyDescent="0.3">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row>
    <row r="699" spans="1:33" x14ac:dyDescent="0.3">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row>
    <row r="700" spans="1:33" x14ac:dyDescent="0.3">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row>
    <row r="701" spans="1:33" x14ac:dyDescent="0.3">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row>
    <row r="702" spans="1:33" x14ac:dyDescent="0.3">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row>
    <row r="703" spans="1:33" x14ac:dyDescent="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row>
    <row r="704" spans="1:33" x14ac:dyDescent="0.3">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row>
    <row r="705" spans="1:33" x14ac:dyDescent="0.3">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row>
    <row r="706" spans="1:33" x14ac:dyDescent="0.3">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row>
    <row r="707" spans="1:33" x14ac:dyDescent="0.3">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row>
    <row r="708" spans="1:33" x14ac:dyDescent="0.3">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row>
    <row r="709" spans="1:33" x14ac:dyDescent="0.3">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row>
    <row r="710" spans="1:33" x14ac:dyDescent="0.3">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row>
    <row r="711" spans="1:33" x14ac:dyDescent="0.3">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row>
    <row r="712" spans="1:33" x14ac:dyDescent="0.3">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row>
    <row r="713" spans="1:33" x14ac:dyDescent="0.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row>
    <row r="714" spans="1:33" x14ac:dyDescent="0.3">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row>
    <row r="715" spans="1:33" x14ac:dyDescent="0.3">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row>
    <row r="716" spans="1:33" x14ac:dyDescent="0.3">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row>
    <row r="717" spans="1:33" x14ac:dyDescent="0.3">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row>
    <row r="718" spans="1:33" x14ac:dyDescent="0.3">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row>
    <row r="719" spans="1:33" x14ac:dyDescent="0.3">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row>
    <row r="720" spans="1:33" x14ac:dyDescent="0.3">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row>
    <row r="721" spans="1:33" x14ac:dyDescent="0.3">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row>
    <row r="722" spans="1:33" x14ac:dyDescent="0.3">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row>
    <row r="723" spans="1:33" x14ac:dyDescent="0.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row>
    <row r="724" spans="1:33" x14ac:dyDescent="0.3">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row>
    <row r="725" spans="1:33" x14ac:dyDescent="0.3">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row>
    <row r="726" spans="1:33" x14ac:dyDescent="0.3">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row>
    <row r="727" spans="1:33" x14ac:dyDescent="0.3">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row>
    <row r="728" spans="1:33" x14ac:dyDescent="0.3">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row>
    <row r="729" spans="1:33" x14ac:dyDescent="0.3">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row>
    <row r="730" spans="1:33" x14ac:dyDescent="0.3">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row>
    <row r="731" spans="1:33" x14ac:dyDescent="0.3">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row>
    <row r="732" spans="1:33" x14ac:dyDescent="0.3">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row>
    <row r="733" spans="1:33" x14ac:dyDescent="0.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row>
    <row r="734" spans="1:33" x14ac:dyDescent="0.3">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row>
    <row r="735" spans="1:33" x14ac:dyDescent="0.3">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row>
    <row r="736" spans="1:33" x14ac:dyDescent="0.3">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row>
    <row r="737" spans="1:33" x14ac:dyDescent="0.3">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row>
    <row r="738" spans="1:33" x14ac:dyDescent="0.3">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row>
    <row r="739" spans="1:33" x14ac:dyDescent="0.3">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row>
    <row r="740" spans="1:33" x14ac:dyDescent="0.3">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row>
    <row r="741" spans="1:33" x14ac:dyDescent="0.3">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row>
    <row r="742" spans="1:33" x14ac:dyDescent="0.3">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row>
    <row r="743" spans="1:33" x14ac:dyDescent="0.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row>
    <row r="744" spans="1:33" x14ac:dyDescent="0.3">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row>
    <row r="745" spans="1:33" x14ac:dyDescent="0.3">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row>
    <row r="746" spans="1:33" x14ac:dyDescent="0.3">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row>
    <row r="747" spans="1:33" x14ac:dyDescent="0.3">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row>
    <row r="748" spans="1:33" x14ac:dyDescent="0.3">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row>
    <row r="749" spans="1:33" x14ac:dyDescent="0.3">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row>
    <row r="750" spans="1:33" x14ac:dyDescent="0.3">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row>
    <row r="751" spans="1:33" x14ac:dyDescent="0.3">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row>
    <row r="752" spans="1:33" x14ac:dyDescent="0.3">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row>
    <row r="753" spans="1:33" x14ac:dyDescent="0.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row>
    <row r="754" spans="1:33" x14ac:dyDescent="0.3">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row>
    <row r="755" spans="1:33" x14ac:dyDescent="0.3">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row>
    <row r="756" spans="1:33" x14ac:dyDescent="0.3">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row>
    <row r="757" spans="1:33" x14ac:dyDescent="0.3">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row>
    <row r="758" spans="1:33" x14ac:dyDescent="0.3">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row>
    <row r="759" spans="1:33" x14ac:dyDescent="0.3">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row>
    <row r="760" spans="1:33" x14ac:dyDescent="0.3">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row>
    <row r="761" spans="1:33" x14ac:dyDescent="0.3">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row>
    <row r="762" spans="1:33" x14ac:dyDescent="0.3">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row>
    <row r="763" spans="1:33" x14ac:dyDescent="0.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row>
    <row r="764" spans="1:33" x14ac:dyDescent="0.3">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row>
    <row r="765" spans="1:33" x14ac:dyDescent="0.3">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row>
    <row r="766" spans="1:33" x14ac:dyDescent="0.3">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row>
    <row r="767" spans="1:33" x14ac:dyDescent="0.3">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row>
    <row r="768" spans="1:33" x14ac:dyDescent="0.3">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row>
    <row r="769" spans="1:33" x14ac:dyDescent="0.3">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row>
    <row r="770" spans="1:33" x14ac:dyDescent="0.3">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row>
    <row r="771" spans="1:33" x14ac:dyDescent="0.3">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row>
    <row r="772" spans="1:33" x14ac:dyDescent="0.3">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row>
    <row r="773" spans="1:33" x14ac:dyDescent="0.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row>
    <row r="774" spans="1:33" x14ac:dyDescent="0.3">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row>
    <row r="775" spans="1:33" x14ac:dyDescent="0.3">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row>
    <row r="776" spans="1:33" x14ac:dyDescent="0.3">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row>
    <row r="777" spans="1:33" x14ac:dyDescent="0.3">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row>
    <row r="778" spans="1:33" x14ac:dyDescent="0.3">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row>
    <row r="779" spans="1:33" x14ac:dyDescent="0.3">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row>
    <row r="780" spans="1:33" x14ac:dyDescent="0.3">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row>
    <row r="781" spans="1:33" x14ac:dyDescent="0.3">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row>
    <row r="782" spans="1:33" x14ac:dyDescent="0.3">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row>
    <row r="783" spans="1:33" x14ac:dyDescent="0.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row>
    <row r="784" spans="1:33" x14ac:dyDescent="0.3">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row>
    <row r="785" spans="1:33" x14ac:dyDescent="0.3">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row>
    <row r="786" spans="1:33" x14ac:dyDescent="0.3">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row>
    <row r="787" spans="1:33" x14ac:dyDescent="0.3">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row>
    <row r="788" spans="1:33" x14ac:dyDescent="0.3">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row>
    <row r="789" spans="1:33" x14ac:dyDescent="0.3">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row>
    <row r="790" spans="1:33" x14ac:dyDescent="0.3">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row>
    <row r="791" spans="1:33" x14ac:dyDescent="0.3">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row>
    <row r="792" spans="1:33" x14ac:dyDescent="0.3">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row>
    <row r="793" spans="1:33" x14ac:dyDescent="0.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row>
    <row r="794" spans="1:33" x14ac:dyDescent="0.3">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row>
    <row r="795" spans="1:33" x14ac:dyDescent="0.3">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row>
    <row r="796" spans="1:33" x14ac:dyDescent="0.3">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row>
    <row r="797" spans="1:33" x14ac:dyDescent="0.3">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row>
    <row r="798" spans="1:33" x14ac:dyDescent="0.3">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row>
    <row r="799" spans="1:33" x14ac:dyDescent="0.3">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row>
    <row r="800" spans="1:33" x14ac:dyDescent="0.3">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row>
    <row r="801" spans="1:33" x14ac:dyDescent="0.3">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row>
    <row r="802" spans="1:33" x14ac:dyDescent="0.3">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row>
    <row r="803" spans="1:33" x14ac:dyDescent="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row>
    <row r="804" spans="1:33" x14ac:dyDescent="0.3">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row>
    <row r="805" spans="1:33" x14ac:dyDescent="0.3">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row>
    <row r="806" spans="1:33" x14ac:dyDescent="0.3">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row>
    <row r="807" spans="1:33" x14ac:dyDescent="0.3">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row>
    <row r="808" spans="1:33" x14ac:dyDescent="0.3">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row>
    <row r="809" spans="1:33" x14ac:dyDescent="0.3">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row>
    <row r="810" spans="1:33" x14ac:dyDescent="0.3">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row>
    <row r="811" spans="1:33" x14ac:dyDescent="0.3">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row>
    <row r="812" spans="1:33" x14ac:dyDescent="0.3">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row>
    <row r="813" spans="1:33" x14ac:dyDescent="0.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row>
    <row r="814" spans="1:33" x14ac:dyDescent="0.3">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row>
    <row r="815" spans="1:33" x14ac:dyDescent="0.3">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row>
    <row r="816" spans="1:33" x14ac:dyDescent="0.3">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row>
    <row r="817" spans="1:33" x14ac:dyDescent="0.3">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row>
    <row r="818" spans="1:33" x14ac:dyDescent="0.3">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row>
    <row r="819" spans="1:33" x14ac:dyDescent="0.3">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row>
    <row r="820" spans="1:33" x14ac:dyDescent="0.3">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row>
    <row r="821" spans="1:33" x14ac:dyDescent="0.3">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row>
    <row r="822" spans="1:33" x14ac:dyDescent="0.3">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row>
    <row r="823" spans="1:33" x14ac:dyDescent="0.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row>
    <row r="824" spans="1:33" x14ac:dyDescent="0.3">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row>
    <row r="825" spans="1:33" x14ac:dyDescent="0.3">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row>
    <row r="826" spans="1:33" x14ac:dyDescent="0.3">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row>
    <row r="827" spans="1:33" x14ac:dyDescent="0.3">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row>
    <row r="828" spans="1:33" x14ac:dyDescent="0.3">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row>
    <row r="829" spans="1:33" x14ac:dyDescent="0.3">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row>
    <row r="830" spans="1:33" x14ac:dyDescent="0.3">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row>
    <row r="831" spans="1:33" x14ac:dyDescent="0.3">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row>
    <row r="832" spans="1:33" x14ac:dyDescent="0.3">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row>
    <row r="833" spans="1:33" x14ac:dyDescent="0.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row>
    <row r="834" spans="1:33" x14ac:dyDescent="0.3">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row>
    <row r="835" spans="1:33" x14ac:dyDescent="0.3">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row>
    <row r="836" spans="1:33" x14ac:dyDescent="0.3">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row>
    <row r="837" spans="1:33" x14ac:dyDescent="0.3">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row>
    <row r="838" spans="1:33" x14ac:dyDescent="0.3">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row>
    <row r="839" spans="1:33" x14ac:dyDescent="0.3">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row>
    <row r="840" spans="1:33" x14ac:dyDescent="0.3">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row>
    <row r="841" spans="1:33" x14ac:dyDescent="0.3">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row>
    <row r="842" spans="1:33" x14ac:dyDescent="0.3">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row>
    <row r="843" spans="1:33" x14ac:dyDescent="0.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row>
    <row r="844" spans="1:33" x14ac:dyDescent="0.3">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row>
    <row r="845" spans="1:33" x14ac:dyDescent="0.3">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row>
    <row r="846" spans="1:33" x14ac:dyDescent="0.3">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row>
    <row r="847" spans="1:33" x14ac:dyDescent="0.3">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row>
    <row r="848" spans="1:33" x14ac:dyDescent="0.3">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row>
    <row r="849" spans="1:33" x14ac:dyDescent="0.3">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row>
    <row r="850" spans="1:33" x14ac:dyDescent="0.3">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row>
    <row r="851" spans="1:33" x14ac:dyDescent="0.3">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row>
    <row r="852" spans="1:33" x14ac:dyDescent="0.3">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row>
    <row r="853" spans="1:33" x14ac:dyDescent="0.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row>
    <row r="854" spans="1:33" x14ac:dyDescent="0.3">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row>
    <row r="855" spans="1:33" x14ac:dyDescent="0.3">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row>
    <row r="856" spans="1:33" x14ac:dyDescent="0.3">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row>
    <row r="857" spans="1:33" x14ac:dyDescent="0.3">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row>
    <row r="858" spans="1:33" x14ac:dyDescent="0.3">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row>
    <row r="859" spans="1:33" x14ac:dyDescent="0.3">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row>
    <row r="860" spans="1:33" x14ac:dyDescent="0.3">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row>
    <row r="861" spans="1:33" x14ac:dyDescent="0.3">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row>
    <row r="862" spans="1:33" x14ac:dyDescent="0.3">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row>
    <row r="863" spans="1:33" x14ac:dyDescent="0.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row>
    <row r="864" spans="1:33" x14ac:dyDescent="0.3">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row>
    <row r="865" spans="1:33" x14ac:dyDescent="0.3">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row>
    <row r="866" spans="1:33" x14ac:dyDescent="0.3">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row>
    <row r="867" spans="1:33" x14ac:dyDescent="0.3">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row>
    <row r="868" spans="1:33" x14ac:dyDescent="0.3">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row>
    <row r="869" spans="1:33" x14ac:dyDescent="0.3">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row>
    <row r="870" spans="1:33" x14ac:dyDescent="0.3">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row>
    <row r="871" spans="1:33" x14ac:dyDescent="0.3">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row>
    <row r="872" spans="1:33" x14ac:dyDescent="0.3">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row>
    <row r="873" spans="1:33" x14ac:dyDescent="0.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row>
    <row r="874" spans="1:33" x14ac:dyDescent="0.3">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row>
    <row r="875" spans="1:33" x14ac:dyDescent="0.3">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row>
    <row r="876" spans="1:33" x14ac:dyDescent="0.3">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row>
    <row r="877" spans="1:33" x14ac:dyDescent="0.3">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row>
    <row r="878" spans="1:33" x14ac:dyDescent="0.3">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row>
    <row r="879" spans="1:33" x14ac:dyDescent="0.3">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row>
    <row r="880" spans="1:33" x14ac:dyDescent="0.3">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row>
    <row r="881" spans="1:33" x14ac:dyDescent="0.3">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row>
    <row r="882" spans="1:33" x14ac:dyDescent="0.3">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row>
    <row r="883" spans="1:33" x14ac:dyDescent="0.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row>
    <row r="884" spans="1:33" x14ac:dyDescent="0.3">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row>
    <row r="885" spans="1:33" x14ac:dyDescent="0.3">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row>
    <row r="886" spans="1:33" x14ac:dyDescent="0.3">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row>
    <row r="887" spans="1:33" x14ac:dyDescent="0.3">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row>
    <row r="888" spans="1:33" x14ac:dyDescent="0.3">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row>
    <row r="889" spans="1:33" x14ac:dyDescent="0.3">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row>
    <row r="890" spans="1:33" x14ac:dyDescent="0.3">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row>
    <row r="891" spans="1:33" x14ac:dyDescent="0.3">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row>
    <row r="892" spans="1:33" x14ac:dyDescent="0.3">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row>
    <row r="893" spans="1:33" x14ac:dyDescent="0.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row>
    <row r="894" spans="1:33" x14ac:dyDescent="0.3">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row>
    <row r="895" spans="1:33" x14ac:dyDescent="0.3">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row>
    <row r="896" spans="1:33" x14ac:dyDescent="0.3">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row>
    <row r="897" spans="1:33" x14ac:dyDescent="0.3">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row>
    <row r="898" spans="1:33" x14ac:dyDescent="0.3">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row>
    <row r="899" spans="1:33" x14ac:dyDescent="0.3">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row>
    <row r="900" spans="1:33" x14ac:dyDescent="0.3">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row>
    <row r="901" spans="1:33" x14ac:dyDescent="0.3">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row>
    <row r="902" spans="1:33" x14ac:dyDescent="0.3">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row>
    <row r="903" spans="1:33" x14ac:dyDescent="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row>
    <row r="904" spans="1:33" x14ac:dyDescent="0.3">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row>
    <row r="905" spans="1:33" x14ac:dyDescent="0.3">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row>
    <row r="906" spans="1:33" x14ac:dyDescent="0.3">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row>
    <row r="907" spans="1:33" x14ac:dyDescent="0.3">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row>
    <row r="908" spans="1:33" x14ac:dyDescent="0.3">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row>
    <row r="909" spans="1:33" x14ac:dyDescent="0.3">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row>
    <row r="910" spans="1:33" x14ac:dyDescent="0.3">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row>
    <row r="911" spans="1:33" x14ac:dyDescent="0.3">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row>
    <row r="912" spans="1:33" x14ac:dyDescent="0.3">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row>
    <row r="913" spans="1:33" x14ac:dyDescent="0.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row>
    <row r="914" spans="1:33" x14ac:dyDescent="0.3">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row>
    <row r="915" spans="1:33" x14ac:dyDescent="0.3">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row>
    <row r="916" spans="1:33" x14ac:dyDescent="0.3">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row>
    <row r="917" spans="1:33" x14ac:dyDescent="0.3">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row>
    <row r="918" spans="1:33" x14ac:dyDescent="0.3">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row>
    <row r="919" spans="1:33" x14ac:dyDescent="0.3">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row>
    <row r="920" spans="1:33" x14ac:dyDescent="0.3">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row>
    <row r="921" spans="1:33" x14ac:dyDescent="0.3">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row>
    <row r="922" spans="1:33" x14ac:dyDescent="0.3">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row>
    <row r="923" spans="1:33" x14ac:dyDescent="0.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row>
    <row r="924" spans="1:33" x14ac:dyDescent="0.3">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row>
    <row r="925" spans="1:33" x14ac:dyDescent="0.3">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row>
    <row r="926" spans="1:33" x14ac:dyDescent="0.3">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row>
    <row r="927" spans="1:33" x14ac:dyDescent="0.3">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row>
    <row r="928" spans="1:33" x14ac:dyDescent="0.3">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row>
    <row r="929" spans="1:33" x14ac:dyDescent="0.3">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row>
    <row r="930" spans="1:33" x14ac:dyDescent="0.3">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row>
    <row r="931" spans="1:33" x14ac:dyDescent="0.3">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row>
    <row r="932" spans="1:33" x14ac:dyDescent="0.3">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row>
    <row r="933" spans="1:33" x14ac:dyDescent="0.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row>
    <row r="934" spans="1:33" x14ac:dyDescent="0.3">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row>
    <row r="935" spans="1:33" x14ac:dyDescent="0.3">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row>
    <row r="936" spans="1:33" x14ac:dyDescent="0.3">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row>
    <row r="937" spans="1:33" x14ac:dyDescent="0.3">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row>
    <row r="938" spans="1:33" x14ac:dyDescent="0.3">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row>
    <row r="939" spans="1:33" x14ac:dyDescent="0.3">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row>
    <row r="940" spans="1:33" x14ac:dyDescent="0.3">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row>
    <row r="941" spans="1:33" x14ac:dyDescent="0.3">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row>
    <row r="942" spans="1:33" x14ac:dyDescent="0.3">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row>
    <row r="943" spans="1:33" x14ac:dyDescent="0.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row>
    <row r="944" spans="1:33" x14ac:dyDescent="0.3">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row>
    <row r="945" spans="1:33" x14ac:dyDescent="0.3">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row>
    <row r="946" spans="1:33" x14ac:dyDescent="0.3">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row>
    <row r="947" spans="1:33" x14ac:dyDescent="0.3">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row>
    <row r="948" spans="1:33" x14ac:dyDescent="0.3">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row>
    <row r="949" spans="1:33" x14ac:dyDescent="0.3">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row>
    <row r="950" spans="1:33" x14ac:dyDescent="0.3">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row>
    <row r="951" spans="1:33" x14ac:dyDescent="0.3">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row>
    <row r="952" spans="1:33" x14ac:dyDescent="0.3">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row>
    <row r="953" spans="1:33" x14ac:dyDescent="0.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row>
    <row r="954" spans="1:33" x14ac:dyDescent="0.3">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row>
    <row r="955" spans="1:33" x14ac:dyDescent="0.3">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row>
    <row r="956" spans="1:33" x14ac:dyDescent="0.3">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row>
    <row r="957" spans="1:33" x14ac:dyDescent="0.3">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row>
    <row r="958" spans="1:33" x14ac:dyDescent="0.3">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row>
    <row r="959" spans="1:33" x14ac:dyDescent="0.3">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row>
    <row r="960" spans="1:33" x14ac:dyDescent="0.3">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row>
    <row r="961" spans="1:33" x14ac:dyDescent="0.3">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row>
    <row r="962" spans="1:33" x14ac:dyDescent="0.3">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row>
    <row r="963" spans="1:33" x14ac:dyDescent="0.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row>
    <row r="964" spans="1:33" x14ac:dyDescent="0.3">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row>
    <row r="965" spans="1:33" x14ac:dyDescent="0.3">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row>
    <row r="966" spans="1:33" x14ac:dyDescent="0.3">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row>
    <row r="967" spans="1:33" x14ac:dyDescent="0.3">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row>
    <row r="968" spans="1:33" x14ac:dyDescent="0.3">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row>
    <row r="969" spans="1:33" x14ac:dyDescent="0.3">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row>
    <row r="970" spans="1:33" x14ac:dyDescent="0.3">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row>
    <row r="971" spans="1:33" x14ac:dyDescent="0.3">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row>
    <row r="972" spans="1:33" x14ac:dyDescent="0.3">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row>
    <row r="973" spans="1:33" x14ac:dyDescent="0.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row>
    <row r="974" spans="1:33" x14ac:dyDescent="0.3">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row>
    <row r="975" spans="1:33" x14ac:dyDescent="0.3">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row>
    <row r="976" spans="1:33" x14ac:dyDescent="0.3">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row>
    <row r="977" spans="1:33" x14ac:dyDescent="0.3">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row>
    <row r="978" spans="1:33" x14ac:dyDescent="0.3">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row>
    <row r="979" spans="1:33" x14ac:dyDescent="0.3">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row>
    <row r="980" spans="1:33" x14ac:dyDescent="0.3">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row>
    <row r="981" spans="1:33" x14ac:dyDescent="0.3">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row>
    <row r="982" spans="1:33" x14ac:dyDescent="0.3">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row>
    <row r="983" spans="1:33" x14ac:dyDescent="0.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row>
    <row r="984" spans="1:33" x14ac:dyDescent="0.3">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row>
    <row r="985" spans="1:33" x14ac:dyDescent="0.3">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row>
    <row r="986" spans="1:33" x14ac:dyDescent="0.3">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row>
    <row r="987" spans="1:33" x14ac:dyDescent="0.3">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row>
    <row r="988" spans="1:33" x14ac:dyDescent="0.3">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row>
    <row r="989" spans="1:33" x14ac:dyDescent="0.3">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row>
    <row r="990" spans="1:33" x14ac:dyDescent="0.3">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row>
    <row r="991" spans="1:33" x14ac:dyDescent="0.3">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row>
    <row r="992" spans="1:33" x14ac:dyDescent="0.3">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row>
    <row r="993" spans="1:33" x14ac:dyDescent="0.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row>
    <row r="994" spans="1:33" x14ac:dyDescent="0.3">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row>
    <row r="995" spans="1:33" x14ac:dyDescent="0.3">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row>
    <row r="996" spans="1:33" x14ac:dyDescent="0.3">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row>
    <row r="997" spans="1:33" x14ac:dyDescent="0.3">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row>
    <row r="998" spans="1:33" x14ac:dyDescent="0.3">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row>
    <row r="999" spans="1:33" x14ac:dyDescent="0.3">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row>
    <row r="1000" spans="1:33" x14ac:dyDescent="0.3">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row>
    <row r="1001" spans="1:33" x14ac:dyDescent="0.3">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row>
    <row r="1002" spans="1:33" x14ac:dyDescent="0.3">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c r="AG1002" s="23"/>
    </row>
    <row r="1003" spans="1:33" x14ac:dyDescent="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row>
    <row r="1004" spans="1:33" x14ac:dyDescent="0.3">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c r="AG1004" s="23"/>
    </row>
    <row r="1005" spans="1:33" x14ac:dyDescent="0.3">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row>
    <row r="1006" spans="1:33" x14ac:dyDescent="0.3">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c r="AF1006" s="23"/>
      <c r="AG1006" s="23"/>
    </row>
    <row r="1007" spans="1:33" x14ac:dyDescent="0.3">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row>
    <row r="1008" spans="1:33" x14ac:dyDescent="0.3">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c r="AF1008" s="23"/>
      <c r="AG1008" s="23"/>
    </row>
    <row r="1009" spans="1:33" x14ac:dyDescent="0.3">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row>
    <row r="1010" spans="1:33" x14ac:dyDescent="0.3">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c r="AF1010" s="23"/>
      <c r="AG1010" s="23"/>
    </row>
    <row r="1011" spans="1:33" x14ac:dyDescent="0.3">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row>
    <row r="1012" spans="1:33" x14ac:dyDescent="0.3">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c r="AF1012" s="23"/>
      <c r="AG1012" s="23"/>
    </row>
    <row r="1013" spans="1:33" x14ac:dyDescent="0.3">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row>
    <row r="1014" spans="1:33" x14ac:dyDescent="0.3">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c r="AF1014" s="23"/>
      <c r="AG1014" s="23"/>
    </row>
    <row r="1015" spans="1:33" x14ac:dyDescent="0.3">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row>
    <row r="1016" spans="1:33" x14ac:dyDescent="0.3">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c r="AF1016" s="23"/>
      <c r="AG1016" s="23"/>
    </row>
    <row r="1017" spans="1:33" x14ac:dyDescent="0.3">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row>
    <row r="1018" spans="1:33" x14ac:dyDescent="0.3">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row>
    <row r="1019" spans="1:33" x14ac:dyDescent="0.3">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row>
    <row r="1020" spans="1:33" x14ac:dyDescent="0.3">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c r="AF1020" s="23"/>
      <c r="AG1020" s="23"/>
    </row>
    <row r="1021" spans="1:33" x14ac:dyDescent="0.3">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row>
    <row r="1022" spans="1:33" x14ac:dyDescent="0.3">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c r="AF1022" s="23"/>
      <c r="AG1022" s="23"/>
    </row>
    <row r="1023" spans="1:33" x14ac:dyDescent="0.3">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row>
    <row r="1024" spans="1:33" x14ac:dyDescent="0.3">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c r="AF1024" s="23"/>
      <c r="AG1024" s="23"/>
    </row>
    <row r="1025" spans="1:33" x14ac:dyDescent="0.3">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row>
    <row r="1026" spans="1:33" x14ac:dyDescent="0.3">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c r="AE1026" s="23"/>
      <c r="AF1026" s="23"/>
      <c r="AG1026" s="23"/>
    </row>
    <row r="1027" spans="1:33" x14ac:dyDescent="0.3">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row>
    <row r="1028" spans="1:33" x14ac:dyDescent="0.3">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c r="AF1028" s="23"/>
      <c r="AG1028" s="23"/>
    </row>
    <row r="1029" spans="1:33" x14ac:dyDescent="0.3">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row>
    <row r="1030" spans="1:33" x14ac:dyDescent="0.3">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c r="AF1030" s="23"/>
      <c r="AG1030" s="23"/>
    </row>
    <row r="1031" spans="1:33" x14ac:dyDescent="0.3">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row>
    <row r="1032" spans="1:33" x14ac:dyDescent="0.3">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c r="AE1032" s="23"/>
      <c r="AF1032" s="23"/>
      <c r="AG1032" s="23"/>
    </row>
    <row r="1033" spans="1:33" x14ac:dyDescent="0.3">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row>
    <row r="1034" spans="1:33" x14ac:dyDescent="0.3">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c r="AE1034" s="23"/>
      <c r="AF1034" s="23"/>
      <c r="AG1034" s="23"/>
    </row>
    <row r="1035" spans="1:33" x14ac:dyDescent="0.3">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row>
    <row r="1036" spans="1:33" x14ac:dyDescent="0.3">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c r="AE1036" s="23"/>
      <c r="AF1036" s="23"/>
      <c r="AG1036" s="23"/>
    </row>
    <row r="1037" spans="1:33" x14ac:dyDescent="0.3">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row>
    <row r="1038" spans="1:33" x14ac:dyDescent="0.3">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c r="AE1038" s="23"/>
      <c r="AF1038" s="23"/>
      <c r="AG1038" s="23"/>
    </row>
    <row r="1039" spans="1:33" x14ac:dyDescent="0.3">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row>
    <row r="1040" spans="1:33" x14ac:dyDescent="0.3">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c r="AE1040" s="23"/>
      <c r="AF1040" s="23"/>
      <c r="AG1040" s="23"/>
    </row>
    <row r="1041" spans="1:33" x14ac:dyDescent="0.3">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row>
    <row r="1042" spans="1:33" x14ac:dyDescent="0.3">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c r="AD1042" s="23"/>
      <c r="AE1042" s="23"/>
      <c r="AF1042" s="23"/>
      <c r="AG1042" s="23"/>
    </row>
    <row r="1043" spans="1:33" x14ac:dyDescent="0.3">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row>
    <row r="1044" spans="1:33" x14ac:dyDescent="0.3">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c r="AF1044" s="23"/>
      <c r="AG1044" s="23"/>
    </row>
    <row r="1045" spans="1:33" x14ac:dyDescent="0.3">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row>
    <row r="1046" spans="1:33" x14ac:dyDescent="0.3">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3"/>
      <c r="AE1046" s="23"/>
      <c r="AF1046" s="23"/>
      <c r="AG1046" s="23"/>
    </row>
    <row r="1047" spans="1:33" x14ac:dyDescent="0.3">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row>
    <row r="1048" spans="1:33" x14ac:dyDescent="0.3">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c r="AF1048" s="23"/>
      <c r="AG1048" s="23"/>
    </row>
    <row r="1049" spans="1:33" x14ac:dyDescent="0.3">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row>
    <row r="1050" spans="1:33" x14ac:dyDescent="0.3">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c r="AF1050" s="23"/>
      <c r="AG1050" s="23"/>
    </row>
    <row r="1051" spans="1:33" x14ac:dyDescent="0.3">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row>
    <row r="1052" spans="1:33" x14ac:dyDescent="0.3">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c r="AE1052" s="23"/>
      <c r="AF1052" s="23"/>
      <c r="AG1052" s="23"/>
    </row>
    <row r="1053" spans="1:33" x14ac:dyDescent="0.3">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row>
    <row r="1054" spans="1:33" x14ac:dyDescent="0.3">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c r="AE1054" s="23"/>
      <c r="AF1054" s="23"/>
      <c r="AG1054" s="23"/>
    </row>
    <row r="1055" spans="1:33" x14ac:dyDescent="0.3">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row>
    <row r="1056" spans="1:33" x14ac:dyDescent="0.3">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c r="AF1056" s="23"/>
      <c r="AG1056" s="23"/>
    </row>
    <row r="1057" spans="1:33" x14ac:dyDescent="0.3">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row>
    <row r="1058" spans="1:33" x14ac:dyDescent="0.3">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c r="AF1058" s="23"/>
      <c r="AG1058" s="23"/>
    </row>
    <row r="1059" spans="1:33" x14ac:dyDescent="0.3">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row>
    <row r="1060" spans="1:33" x14ac:dyDescent="0.3">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c r="AF1060" s="23"/>
      <c r="AG1060" s="23"/>
    </row>
    <row r="1061" spans="1:33" x14ac:dyDescent="0.3">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row>
    <row r="1062" spans="1:33" x14ac:dyDescent="0.3">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c r="AA1062" s="23"/>
      <c r="AB1062" s="23"/>
      <c r="AC1062" s="23"/>
      <c r="AD1062" s="23"/>
      <c r="AE1062" s="23"/>
      <c r="AF1062" s="23"/>
      <c r="AG1062" s="23"/>
    </row>
    <row r="1063" spans="1:33" x14ac:dyDescent="0.3">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row>
    <row r="1064" spans="1:33" x14ac:dyDescent="0.3">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c r="AE1064" s="23"/>
      <c r="AF1064" s="23"/>
      <c r="AG1064" s="23"/>
    </row>
    <row r="1065" spans="1:33" x14ac:dyDescent="0.3">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row>
    <row r="1066" spans="1:33" x14ac:dyDescent="0.3">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c r="AE1066" s="23"/>
      <c r="AF1066" s="23"/>
      <c r="AG1066" s="23"/>
    </row>
    <row r="1067" spans="1:33" x14ac:dyDescent="0.3">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row>
    <row r="1068" spans="1:33" x14ac:dyDescent="0.3">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c r="AF1068" s="23"/>
      <c r="AG1068" s="23"/>
    </row>
    <row r="1069" spans="1:33" x14ac:dyDescent="0.3">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row>
    <row r="1070" spans="1:33" x14ac:dyDescent="0.3">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c r="AF1070" s="23"/>
      <c r="AG1070" s="23"/>
    </row>
    <row r="1071" spans="1:33" x14ac:dyDescent="0.3">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row>
    <row r="1072" spans="1:33" x14ac:dyDescent="0.3">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c r="AF1072" s="23"/>
      <c r="AG1072" s="23"/>
    </row>
    <row r="1073" spans="1:33" x14ac:dyDescent="0.3">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row>
    <row r="1074" spans="1:33" x14ac:dyDescent="0.3">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c r="AE1074" s="23"/>
      <c r="AF1074" s="23"/>
      <c r="AG1074" s="23"/>
    </row>
    <row r="1075" spans="1:33" x14ac:dyDescent="0.3">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row>
    <row r="1076" spans="1:33" x14ac:dyDescent="0.3">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c r="AF1076" s="23"/>
      <c r="AG1076" s="23"/>
    </row>
    <row r="1077" spans="1:33" x14ac:dyDescent="0.3">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row>
    <row r="1078" spans="1:33" x14ac:dyDescent="0.3">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c r="AF1078" s="23"/>
      <c r="AG1078" s="23"/>
    </row>
    <row r="1079" spans="1:33" x14ac:dyDescent="0.3">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row>
    <row r="1080" spans="1:33" x14ac:dyDescent="0.3">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c r="AA1080" s="23"/>
      <c r="AB1080" s="23"/>
      <c r="AC1080" s="23"/>
      <c r="AD1080" s="23"/>
      <c r="AE1080" s="23"/>
      <c r="AF1080" s="23"/>
      <c r="AG1080" s="23"/>
    </row>
    <row r="1081" spans="1:33" x14ac:dyDescent="0.3">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row>
    <row r="1082" spans="1:33" x14ac:dyDescent="0.3">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c r="AF1082" s="23"/>
      <c r="AG1082" s="23"/>
    </row>
    <row r="1083" spans="1:33" x14ac:dyDescent="0.3">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row>
    <row r="1084" spans="1:33" x14ac:dyDescent="0.3">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c r="AD1084" s="23"/>
      <c r="AE1084" s="23"/>
      <c r="AF1084" s="23"/>
      <c r="AG1084" s="23"/>
    </row>
    <row r="1085" spans="1:33" x14ac:dyDescent="0.3">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row>
    <row r="1086" spans="1:33" x14ac:dyDescent="0.3">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c r="AD1086" s="23"/>
      <c r="AE1086" s="23"/>
      <c r="AF1086" s="23"/>
      <c r="AG1086" s="23"/>
    </row>
    <row r="1087" spans="1:33" x14ac:dyDescent="0.3">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row>
    <row r="1088" spans="1:33" x14ac:dyDescent="0.3">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c r="AD1088" s="23"/>
      <c r="AE1088" s="23"/>
      <c r="AF1088" s="23"/>
      <c r="AG1088" s="23"/>
    </row>
    <row r="1089" spans="1:33" x14ac:dyDescent="0.3">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row>
    <row r="1090" spans="1:33" x14ac:dyDescent="0.3">
      <c r="A1090" s="23"/>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c r="AA1090" s="23"/>
      <c r="AB1090" s="23"/>
      <c r="AC1090" s="23"/>
      <c r="AD1090" s="23"/>
      <c r="AE1090" s="23"/>
      <c r="AF1090" s="23"/>
      <c r="AG1090" s="23"/>
    </row>
    <row r="1091" spans="1:33" x14ac:dyDescent="0.3">
      <c r="A1091" s="23"/>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row>
    <row r="1092" spans="1:33" x14ac:dyDescent="0.3">
      <c r="A1092" s="23"/>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c r="AA1092" s="23"/>
      <c r="AB1092" s="23"/>
      <c r="AC1092" s="23"/>
      <c r="AD1092" s="23"/>
      <c r="AE1092" s="23"/>
      <c r="AF1092" s="23"/>
      <c r="AG1092" s="23"/>
    </row>
    <row r="1093" spans="1:33" x14ac:dyDescent="0.3">
      <c r="A1093" s="23"/>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row>
    <row r="1094" spans="1:33" x14ac:dyDescent="0.3">
      <c r="A1094" s="23"/>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c r="AE1094" s="23"/>
      <c r="AF1094" s="23"/>
      <c r="AG1094" s="23"/>
    </row>
    <row r="1095" spans="1:33" x14ac:dyDescent="0.3">
      <c r="A1095" s="23"/>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row>
    <row r="1096" spans="1:33" x14ac:dyDescent="0.3">
      <c r="A1096" s="23"/>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c r="AD1096" s="23"/>
      <c r="AE1096" s="23"/>
      <c r="AF1096" s="23"/>
      <c r="AG1096" s="23"/>
    </row>
    <row r="1097" spans="1:33" x14ac:dyDescent="0.3">
      <c r="A1097" s="23"/>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row>
    <row r="1098" spans="1:33" x14ac:dyDescent="0.3">
      <c r="A1098" s="23"/>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c r="AA1098" s="23"/>
      <c r="AB1098" s="23"/>
      <c r="AC1098" s="23"/>
      <c r="AD1098" s="23"/>
      <c r="AE1098" s="23"/>
      <c r="AF1098" s="23"/>
      <c r="AG1098" s="23"/>
    </row>
    <row r="1099" spans="1:33" x14ac:dyDescent="0.3">
      <c r="A1099" s="23"/>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row>
    <row r="1100" spans="1:33" x14ac:dyDescent="0.3">
      <c r="A1100" s="23"/>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c r="AE1100" s="23"/>
      <c r="AF1100" s="23"/>
      <c r="AG1100" s="23"/>
    </row>
    <row r="1101" spans="1:33" x14ac:dyDescent="0.3">
      <c r="A1101" s="23"/>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row>
    <row r="1102" spans="1:33" x14ac:dyDescent="0.3">
      <c r="A1102" s="23"/>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c r="AA1102" s="23"/>
      <c r="AB1102" s="23"/>
      <c r="AC1102" s="23"/>
      <c r="AD1102" s="23"/>
      <c r="AE1102" s="23"/>
      <c r="AF1102" s="23"/>
      <c r="AG1102" s="23"/>
    </row>
    <row r="1103" spans="1:33" x14ac:dyDescent="0.3">
      <c r="A1103" s="23"/>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row>
    <row r="1104" spans="1:33" x14ac:dyDescent="0.3">
      <c r="A1104" s="23"/>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c r="AA1104" s="23"/>
      <c r="AB1104" s="23"/>
      <c r="AC1104" s="23"/>
      <c r="AD1104" s="23"/>
      <c r="AE1104" s="23"/>
      <c r="AF1104" s="23"/>
      <c r="AG1104" s="23"/>
    </row>
    <row r="1105" spans="1:33" x14ac:dyDescent="0.3">
      <c r="A1105" s="23"/>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row>
    <row r="1106" spans="1:33" x14ac:dyDescent="0.3">
      <c r="A1106" s="2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c r="AA1106" s="23"/>
      <c r="AB1106" s="23"/>
      <c r="AC1106" s="23"/>
      <c r="AD1106" s="23"/>
      <c r="AE1106" s="23"/>
      <c r="AF1106" s="23"/>
      <c r="AG1106" s="23"/>
    </row>
    <row r="1107" spans="1:33" x14ac:dyDescent="0.3">
      <c r="A1107" s="23"/>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row>
    <row r="1108" spans="1:33" x14ac:dyDescent="0.3">
      <c r="A1108" s="23"/>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c r="AA1108" s="23"/>
      <c r="AB1108" s="23"/>
      <c r="AC1108" s="23"/>
      <c r="AD1108" s="23"/>
      <c r="AE1108" s="23"/>
      <c r="AF1108" s="23"/>
      <c r="AG1108" s="23"/>
    </row>
    <row r="1109" spans="1:33" x14ac:dyDescent="0.3">
      <c r="A1109" s="23"/>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row>
    <row r="1110" spans="1:33" x14ac:dyDescent="0.3">
      <c r="A1110" s="23"/>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c r="AA1110" s="23"/>
      <c r="AB1110" s="23"/>
      <c r="AC1110" s="23"/>
      <c r="AD1110" s="23"/>
      <c r="AE1110" s="23"/>
      <c r="AF1110" s="23"/>
      <c r="AG1110" s="23"/>
    </row>
    <row r="1111" spans="1:33" x14ac:dyDescent="0.3">
      <c r="A1111" s="23"/>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row>
    <row r="1112" spans="1:33" x14ac:dyDescent="0.3">
      <c r="A1112" s="23"/>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c r="AA1112" s="23"/>
      <c r="AB1112" s="23"/>
      <c r="AC1112" s="23"/>
      <c r="AD1112" s="23"/>
      <c r="AE1112" s="23"/>
      <c r="AF1112" s="23"/>
      <c r="AG1112" s="23"/>
    </row>
    <row r="1113" spans="1:33" x14ac:dyDescent="0.3">
      <c r="A1113" s="23"/>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row>
    <row r="1114" spans="1:33" x14ac:dyDescent="0.3">
      <c r="A1114" s="23"/>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c r="AA1114" s="23"/>
      <c r="AB1114" s="23"/>
      <c r="AC1114" s="23"/>
      <c r="AD1114" s="23"/>
      <c r="AE1114" s="23"/>
      <c r="AF1114" s="23"/>
      <c r="AG1114" s="23"/>
    </row>
    <row r="1115" spans="1:33" x14ac:dyDescent="0.3">
      <c r="A1115" s="23"/>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row>
    <row r="1116" spans="1:33" x14ac:dyDescent="0.3">
      <c r="A1116" s="23"/>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c r="AA1116" s="23"/>
      <c r="AB1116" s="23"/>
      <c r="AC1116" s="23"/>
      <c r="AD1116" s="23"/>
      <c r="AE1116" s="23"/>
      <c r="AF1116" s="23"/>
      <c r="AG1116" s="23"/>
    </row>
    <row r="1117" spans="1:33" x14ac:dyDescent="0.3">
      <c r="A1117" s="23"/>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row>
    <row r="1118" spans="1:33" x14ac:dyDescent="0.3">
      <c r="A1118" s="23"/>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c r="AD1118" s="23"/>
      <c r="AE1118" s="23"/>
      <c r="AF1118" s="23"/>
      <c r="AG1118" s="23"/>
    </row>
    <row r="1119" spans="1:33" x14ac:dyDescent="0.3">
      <c r="A1119" s="23"/>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row>
    <row r="1120" spans="1:33" x14ac:dyDescent="0.3">
      <c r="A1120" s="23"/>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c r="AD1120" s="23"/>
      <c r="AE1120" s="23"/>
      <c r="AF1120" s="23"/>
      <c r="AG1120" s="23"/>
    </row>
    <row r="1121" spans="1:33" x14ac:dyDescent="0.3">
      <c r="A1121" s="23"/>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row>
    <row r="1122" spans="1:33" x14ac:dyDescent="0.3">
      <c r="A1122" s="23"/>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c r="AA1122" s="23"/>
      <c r="AB1122" s="23"/>
      <c r="AC1122" s="23"/>
      <c r="AD1122" s="23"/>
      <c r="AE1122" s="23"/>
      <c r="AF1122" s="23"/>
      <c r="AG1122" s="23"/>
    </row>
    <row r="1123" spans="1:33" x14ac:dyDescent="0.3">
      <c r="A1123" s="23"/>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row>
    <row r="1124" spans="1:33" x14ac:dyDescent="0.3">
      <c r="A1124" s="23"/>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c r="AA1124" s="23"/>
      <c r="AB1124" s="23"/>
      <c r="AC1124" s="23"/>
      <c r="AD1124" s="23"/>
      <c r="AE1124" s="23"/>
      <c r="AF1124" s="23"/>
      <c r="AG1124" s="23"/>
    </row>
    <row r="1125" spans="1:33" x14ac:dyDescent="0.3">
      <c r="A1125" s="23"/>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row>
    <row r="1126" spans="1:33" x14ac:dyDescent="0.3">
      <c r="A1126" s="23"/>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c r="AA1126" s="23"/>
      <c r="AB1126" s="23"/>
      <c r="AC1126" s="23"/>
      <c r="AD1126" s="23"/>
      <c r="AE1126" s="23"/>
      <c r="AF1126" s="23"/>
      <c r="AG1126" s="23"/>
    </row>
    <row r="1127" spans="1:33" x14ac:dyDescent="0.3">
      <c r="A1127" s="23"/>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row>
    <row r="1128" spans="1:33" x14ac:dyDescent="0.3">
      <c r="A1128" s="23"/>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c r="AA1128" s="23"/>
      <c r="AB1128" s="23"/>
      <c r="AC1128" s="23"/>
      <c r="AD1128" s="23"/>
      <c r="AE1128" s="23"/>
      <c r="AF1128" s="23"/>
      <c r="AG1128" s="23"/>
    </row>
    <row r="1129" spans="1:33" x14ac:dyDescent="0.3">
      <c r="A1129" s="23"/>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row>
    <row r="1130" spans="1:33" x14ac:dyDescent="0.3">
      <c r="A1130" s="23"/>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c r="AD1130" s="23"/>
      <c r="AE1130" s="23"/>
      <c r="AF1130" s="23"/>
      <c r="AG1130" s="23"/>
    </row>
    <row r="1131" spans="1:33" x14ac:dyDescent="0.3">
      <c r="A1131" s="23"/>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row>
    <row r="1132" spans="1:33" x14ac:dyDescent="0.3">
      <c r="A1132" s="23"/>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c r="AF1132" s="23"/>
      <c r="AG1132" s="23"/>
    </row>
    <row r="1133" spans="1:33" x14ac:dyDescent="0.3">
      <c r="A1133" s="23"/>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row>
    <row r="1134" spans="1:33" x14ac:dyDescent="0.3">
      <c r="A1134" s="23"/>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c r="AD1134" s="23"/>
      <c r="AE1134" s="23"/>
      <c r="AF1134" s="23"/>
      <c r="AG1134" s="23"/>
    </row>
    <row r="1135" spans="1:33" x14ac:dyDescent="0.3">
      <c r="A1135" s="23"/>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row>
    <row r="1136" spans="1:33" x14ac:dyDescent="0.3">
      <c r="A1136" s="23"/>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c r="AF1136" s="23"/>
      <c r="AG1136" s="23"/>
    </row>
    <row r="1137" spans="1:33" x14ac:dyDescent="0.3">
      <c r="A1137" s="23"/>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row>
    <row r="1138" spans="1:33" x14ac:dyDescent="0.3">
      <c r="A1138" s="23"/>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c r="AD1138" s="23"/>
      <c r="AE1138" s="23"/>
      <c r="AF1138" s="23"/>
      <c r="AG1138" s="23"/>
    </row>
    <row r="1139" spans="1:33" x14ac:dyDescent="0.3">
      <c r="A1139" s="23"/>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row>
    <row r="1140" spans="1:33" x14ac:dyDescent="0.3">
      <c r="A1140" s="23"/>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c r="AD1140" s="23"/>
      <c r="AE1140" s="23"/>
      <c r="AF1140" s="23"/>
      <c r="AG1140" s="23"/>
    </row>
    <row r="1141" spans="1:33" x14ac:dyDescent="0.3">
      <c r="A1141" s="23"/>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row>
    <row r="1142" spans="1:33" x14ac:dyDescent="0.3">
      <c r="A1142" s="23"/>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c r="AA1142" s="23"/>
      <c r="AB1142" s="23"/>
      <c r="AC1142" s="23"/>
      <c r="AD1142" s="23"/>
      <c r="AE1142" s="23"/>
      <c r="AF1142" s="23"/>
      <c r="AG1142" s="23"/>
    </row>
    <row r="1143" spans="1:33" x14ac:dyDescent="0.3">
      <c r="A1143" s="23"/>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row>
    <row r="1144" spans="1:33" x14ac:dyDescent="0.3">
      <c r="A1144" s="23"/>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c r="AA1144" s="23"/>
      <c r="AB1144" s="23"/>
      <c r="AC1144" s="23"/>
      <c r="AD1144" s="23"/>
      <c r="AE1144" s="23"/>
      <c r="AF1144" s="23"/>
      <c r="AG1144" s="23"/>
    </row>
    <row r="1145" spans="1:33" x14ac:dyDescent="0.3">
      <c r="A1145" s="23"/>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row>
    <row r="1146" spans="1:33" x14ac:dyDescent="0.3">
      <c r="A1146" s="23"/>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c r="AA1146" s="23"/>
      <c r="AB1146" s="23"/>
      <c r="AC1146" s="23"/>
      <c r="AD1146" s="23"/>
      <c r="AE1146" s="23"/>
      <c r="AF1146" s="23"/>
      <c r="AG1146" s="23"/>
    </row>
    <row r="1147" spans="1:33" x14ac:dyDescent="0.3">
      <c r="A1147" s="23"/>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row>
    <row r="1148" spans="1:33" x14ac:dyDescent="0.3">
      <c r="A1148" s="23"/>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c r="AA1148" s="23"/>
      <c r="AB1148" s="23"/>
      <c r="AC1148" s="23"/>
      <c r="AD1148" s="23"/>
      <c r="AE1148" s="23"/>
      <c r="AF1148" s="23"/>
      <c r="AG1148" s="23"/>
    </row>
    <row r="1149" spans="1:33" x14ac:dyDescent="0.3">
      <c r="A1149" s="23"/>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row>
    <row r="1150" spans="1:33" x14ac:dyDescent="0.3">
      <c r="A1150" s="23"/>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c r="AA1150" s="23"/>
      <c r="AB1150" s="23"/>
      <c r="AC1150" s="23"/>
      <c r="AD1150" s="23"/>
      <c r="AE1150" s="23"/>
      <c r="AF1150" s="23"/>
      <c r="AG1150" s="23"/>
    </row>
    <row r="1151" spans="1:33" x14ac:dyDescent="0.3">
      <c r="A1151" s="23"/>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row>
    <row r="1152" spans="1:33" x14ac:dyDescent="0.3">
      <c r="A1152" s="23"/>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c r="AA1152" s="23"/>
      <c r="AB1152" s="23"/>
      <c r="AC1152" s="23"/>
      <c r="AD1152" s="23"/>
      <c r="AE1152" s="23"/>
      <c r="AF1152" s="23"/>
      <c r="AG1152" s="23"/>
    </row>
    <row r="1153" spans="1:33" x14ac:dyDescent="0.3">
      <c r="A1153" s="23"/>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row>
    <row r="1154" spans="1:33" x14ac:dyDescent="0.3">
      <c r="A1154" s="23"/>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c r="AA1154" s="23"/>
      <c r="AB1154" s="23"/>
      <c r="AC1154" s="23"/>
      <c r="AD1154" s="23"/>
      <c r="AE1154" s="23"/>
      <c r="AF1154" s="23"/>
      <c r="AG1154" s="23"/>
    </row>
    <row r="1155" spans="1:33" x14ac:dyDescent="0.3">
      <c r="A1155" s="23"/>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row>
    <row r="1156" spans="1:33" x14ac:dyDescent="0.3">
      <c r="A1156" s="23"/>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c r="AA1156" s="23"/>
      <c r="AB1156" s="23"/>
      <c r="AC1156" s="23"/>
      <c r="AD1156" s="23"/>
      <c r="AE1156" s="23"/>
      <c r="AF1156" s="23"/>
      <c r="AG1156" s="23"/>
    </row>
    <row r="1157" spans="1:33" x14ac:dyDescent="0.3">
      <c r="A1157" s="23"/>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row>
    <row r="1158" spans="1:33" x14ac:dyDescent="0.3">
      <c r="A1158" s="23"/>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c r="AA1158" s="23"/>
      <c r="AB1158" s="23"/>
      <c r="AC1158" s="23"/>
      <c r="AD1158" s="23"/>
      <c r="AE1158" s="23"/>
      <c r="AF1158" s="23"/>
      <c r="AG1158" s="23"/>
    </row>
    <row r="1159" spans="1:33" x14ac:dyDescent="0.3">
      <c r="A1159" s="23"/>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row>
    <row r="1160" spans="1:33" x14ac:dyDescent="0.3">
      <c r="A1160" s="23"/>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c r="AA1160" s="23"/>
      <c r="AB1160" s="23"/>
      <c r="AC1160" s="23"/>
      <c r="AD1160" s="23"/>
      <c r="AE1160" s="23"/>
      <c r="AF1160" s="23"/>
      <c r="AG1160" s="23"/>
    </row>
    <row r="1161" spans="1:33" x14ac:dyDescent="0.3">
      <c r="A1161" s="23"/>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row>
    <row r="1162" spans="1:33" x14ac:dyDescent="0.3">
      <c r="A1162" s="23"/>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c r="AA1162" s="23"/>
      <c r="AB1162" s="23"/>
      <c r="AC1162" s="23"/>
      <c r="AD1162" s="23"/>
      <c r="AE1162" s="23"/>
      <c r="AF1162" s="23"/>
      <c r="AG1162" s="23"/>
    </row>
    <row r="1163" spans="1:33" x14ac:dyDescent="0.3">
      <c r="A1163" s="23"/>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row>
    <row r="1164" spans="1:33" x14ac:dyDescent="0.3">
      <c r="A1164" s="23"/>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c r="AD1164" s="23"/>
      <c r="AE1164" s="23"/>
      <c r="AF1164" s="23"/>
      <c r="AG1164" s="23"/>
    </row>
    <row r="1165" spans="1:33" x14ac:dyDescent="0.3">
      <c r="A1165" s="23"/>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row>
    <row r="1166" spans="1:33" x14ac:dyDescent="0.3">
      <c r="A1166" s="23"/>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c r="AA1166" s="23"/>
      <c r="AB1166" s="23"/>
      <c r="AC1166" s="23"/>
      <c r="AD1166" s="23"/>
      <c r="AE1166" s="23"/>
      <c r="AF1166" s="23"/>
      <c r="AG1166" s="23"/>
    </row>
    <row r="1167" spans="1:33" x14ac:dyDescent="0.3">
      <c r="A1167" s="23"/>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row>
    <row r="1168" spans="1:33" x14ac:dyDescent="0.3">
      <c r="A1168" s="23"/>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c r="AA1168" s="23"/>
      <c r="AB1168" s="23"/>
      <c r="AC1168" s="23"/>
      <c r="AD1168" s="23"/>
      <c r="AE1168" s="23"/>
      <c r="AF1168" s="23"/>
      <c r="AG1168" s="23"/>
    </row>
    <row r="1169" spans="1:33" x14ac:dyDescent="0.3">
      <c r="A1169" s="23"/>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row>
    <row r="1170" spans="1:33" x14ac:dyDescent="0.3">
      <c r="A1170" s="23"/>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c r="AA1170" s="23"/>
      <c r="AB1170" s="23"/>
      <c r="AC1170" s="23"/>
      <c r="AD1170" s="23"/>
      <c r="AE1170" s="23"/>
      <c r="AF1170" s="23"/>
      <c r="AG1170" s="23"/>
    </row>
    <row r="1171" spans="1:33" x14ac:dyDescent="0.3">
      <c r="A1171" s="23"/>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row>
    <row r="1172" spans="1:33" x14ac:dyDescent="0.3">
      <c r="A1172" s="23"/>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c r="AA1172" s="23"/>
      <c r="AB1172" s="23"/>
      <c r="AC1172" s="23"/>
      <c r="AD1172" s="23"/>
      <c r="AE1172" s="23"/>
      <c r="AF1172" s="23"/>
      <c r="AG1172" s="23"/>
    </row>
    <row r="1173" spans="1:33" x14ac:dyDescent="0.3">
      <c r="A1173" s="23"/>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row>
    <row r="1174" spans="1:33" x14ac:dyDescent="0.3">
      <c r="A1174" s="23"/>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c r="AA1174" s="23"/>
      <c r="AB1174" s="23"/>
      <c r="AC1174" s="23"/>
      <c r="AD1174" s="23"/>
      <c r="AE1174" s="23"/>
      <c r="AF1174" s="23"/>
      <c r="AG1174" s="23"/>
    </row>
    <row r="1175" spans="1:33" x14ac:dyDescent="0.3">
      <c r="A1175" s="23"/>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row>
    <row r="1176" spans="1:33" x14ac:dyDescent="0.3">
      <c r="A1176" s="23"/>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c r="AA1176" s="23"/>
      <c r="AB1176" s="23"/>
      <c r="AC1176" s="23"/>
      <c r="AD1176" s="23"/>
      <c r="AE1176" s="23"/>
      <c r="AF1176" s="23"/>
      <c r="AG1176" s="23"/>
    </row>
    <row r="1177" spans="1:33" x14ac:dyDescent="0.3">
      <c r="A1177" s="23"/>
      <c r="B1177" s="23"/>
      <c r="C1177" s="23"/>
      <c r="D1177" s="23"/>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row>
    <row r="1178" spans="1:33" x14ac:dyDescent="0.3">
      <c r="A1178" s="23"/>
      <c r="B1178" s="23"/>
      <c r="C1178" s="23"/>
      <c r="D1178" s="23"/>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c r="AA1178" s="23"/>
      <c r="AB1178" s="23"/>
      <c r="AC1178" s="23"/>
      <c r="AD1178" s="23"/>
      <c r="AE1178" s="23"/>
      <c r="AF1178" s="23"/>
      <c r="AG1178" s="23"/>
    </row>
    <row r="1179" spans="1:33" x14ac:dyDescent="0.3">
      <c r="A1179" s="23"/>
      <c r="B1179" s="23"/>
      <c r="C1179" s="23"/>
      <c r="D1179" s="23"/>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row>
    <row r="1180" spans="1:33" x14ac:dyDescent="0.3">
      <c r="A1180" s="23"/>
      <c r="B1180" s="23"/>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c r="AA1180" s="23"/>
      <c r="AB1180" s="23"/>
      <c r="AC1180" s="23"/>
      <c r="AD1180" s="23"/>
      <c r="AE1180" s="23"/>
      <c r="AF1180" s="23"/>
      <c r="AG1180" s="23"/>
    </row>
    <row r="1181" spans="1:33" x14ac:dyDescent="0.3">
      <c r="A1181" s="23"/>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row>
    <row r="1182" spans="1:33" x14ac:dyDescent="0.3">
      <c r="A1182" s="23"/>
      <c r="B1182" s="23"/>
      <c r="C1182" s="23"/>
      <c r="D1182" s="23"/>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c r="AA1182" s="23"/>
      <c r="AB1182" s="23"/>
      <c r="AC1182" s="23"/>
      <c r="AD1182" s="23"/>
      <c r="AE1182" s="23"/>
      <c r="AF1182" s="23"/>
      <c r="AG1182" s="23"/>
    </row>
    <row r="1183" spans="1:33" x14ac:dyDescent="0.3">
      <c r="A1183" s="23"/>
      <c r="B1183" s="23"/>
      <c r="C1183" s="23"/>
      <c r="D1183" s="23"/>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row>
    <row r="1184" spans="1:33" x14ac:dyDescent="0.3">
      <c r="A1184" s="23"/>
      <c r="B1184" s="23"/>
      <c r="C1184" s="23"/>
      <c r="D1184" s="23"/>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c r="AA1184" s="23"/>
      <c r="AB1184" s="23"/>
      <c r="AC1184" s="23"/>
      <c r="AD1184" s="23"/>
      <c r="AE1184" s="23"/>
      <c r="AF1184" s="23"/>
      <c r="AG1184" s="23"/>
    </row>
    <row r="1185" spans="1:33" x14ac:dyDescent="0.3">
      <c r="A1185" s="23"/>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row>
    <row r="1186" spans="1:33" x14ac:dyDescent="0.3">
      <c r="A1186" s="23"/>
      <c r="B1186" s="23"/>
      <c r="C1186" s="23"/>
      <c r="D1186" s="23"/>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c r="AA1186" s="23"/>
      <c r="AB1186" s="23"/>
      <c r="AC1186" s="23"/>
      <c r="AD1186" s="23"/>
      <c r="AE1186" s="23"/>
      <c r="AF1186" s="23"/>
      <c r="AG1186" s="23"/>
    </row>
    <row r="1187" spans="1:33" x14ac:dyDescent="0.3">
      <c r="A1187" s="23"/>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row>
    <row r="1188" spans="1:33" x14ac:dyDescent="0.3">
      <c r="A1188" s="23"/>
      <c r="B1188" s="23"/>
      <c r="C1188" s="23"/>
      <c r="D1188" s="23"/>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c r="AA1188" s="23"/>
      <c r="AB1188" s="23"/>
      <c r="AC1188" s="23"/>
      <c r="AD1188" s="23"/>
      <c r="AE1188" s="23"/>
      <c r="AF1188" s="23"/>
      <c r="AG1188" s="23"/>
    </row>
    <row r="1189" spans="1:33" x14ac:dyDescent="0.3">
      <c r="A1189" s="23"/>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row>
    <row r="1190" spans="1:33" x14ac:dyDescent="0.3">
      <c r="A1190" s="23"/>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c r="AA1190" s="23"/>
      <c r="AB1190" s="23"/>
      <c r="AC1190" s="23"/>
      <c r="AD1190" s="23"/>
      <c r="AE1190" s="23"/>
      <c r="AF1190" s="23"/>
      <c r="AG1190" s="23"/>
    </row>
    <row r="1191" spans="1:33" x14ac:dyDescent="0.3">
      <c r="A1191" s="23"/>
      <c r="B1191" s="23"/>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row>
    <row r="1192" spans="1:33" x14ac:dyDescent="0.3">
      <c r="A1192" s="23"/>
      <c r="B1192" s="23"/>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c r="AA1192" s="23"/>
      <c r="AB1192" s="23"/>
      <c r="AC1192" s="23"/>
      <c r="AD1192" s="23"/>
      <c r="AE1192" s="23"/>
      <c r="AF1192" s="23"/>
      <c r="AG1192" s="23"/>
    </row>
    <row r="1193" spans="1:33" x14ac:dyDescent="0.3">
      <c r="A1193" s="23"/>
      <c r="B1193" s="23"/>
      <c r="C1193" s="23"/>
      <c r="D1193" s="23"/>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row>
    <row r="1194" spans="1:33" x14ac:dyDescent="0.3">
      <c r="A1194" s="23"/>
      <c r="B1194" s="23"/>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c r="AA1194" s="23"/>
      <c r="AB1194" s="23"/>
      <c r="AC1194" s="23"/>
      <c r="AD1194" s="23"/>
      <c r="AE1194" s="23"/>
      <c r="AF1194" s="23"/>
      <c r="AG1194" s="23"/>
    </row>
    <row r="1195" spans="1:33" x14ac:dyDescent="0.3">
      <c r="A1195" s="23"/>
      <c r="B1195" s="23"/>
      <c r="C1195" s="23"/>
      <c r="D1195" s="23"/>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row>
    <row r="1196" spans="1:33" x14ac:dyDescent="0.3">
      <c r="A1196" s="23"/>
      <c r="B1196" s="23"/>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c r="AA1196" s="23"/>
      <c r="AB1196" s="23"/>
      <c r="AC1196" s="23"/>
      <c r="AD1196" s="23"/>
      <c r="AE1196" s="23"/>
      <c r="AF1196" s="23"/>
      <c r="AG1196" s="23"/>
    </row>
    <row r="1197" spans="1:33" x14ac:dyDescent="0.3">
      <c r="A1197" s="23"/>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row>
    <row r="1198" spans="1:33" x14ac:dyDescent="0.3">
      <c r="A1198" s="23"/>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c r="AA1198" s="23"/>
      <c r="AB1198" s="23"/>
      <c r="AC1198" s="23"/>
      <c r="AD1198" s="23"/>
      <c r="AE1198" s="23"/>
      <c r="AF1198" s="23"/>
      <c r="AG1198" s="23"/>
    </row>
    <row r="1199" spans="1:33" x14ac:dyDescent="0.3">
      <c r="A1199" s="23"/>
      <c r="B1199" s="23"/>
      <c r="C1199" s="23"/>
      <c r="D1199" s="23"/>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row>
    <row r="1200" spans="1:33" x14ac:dyDescent="0.3">
      <c r="A1200" s="23"/>
      <c r="B1200" s="23"/>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c r="AA1200" s="23"/>
      <c r="AB1200" s="23"/>
      <c r="AC1200" s="23"/>
      <c r="AD1200" s="23"/>
      <c r="AE1200" s="23"/>
      <c r="AF1200" s="23"/>
      <c r="AG1200" s="23"/>
    </row>
    <row r="1201" spans="1:33" x14ac:dyDescent="0.3">
      <c r="A1201" s="23"/>
      <c r="B1201" s="23"/>
      <c r="C1201" s="23"/>
      <c r="D1201" s="23"/>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row>
    <row r="1202" spans="1:33" x14ac:dyDescent="0.3">
      <c r="A1202" s="23"/>
      <c r="B1202" s="23"/>
      <c r="C1202" s="23"/>
      <c r="D1202" s="23"/>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c r="AA1202" s="23"/>
      <c r="AB1202" s="23"/>
      <c r="AC1202" s="23"/>
      <c r="AD1202" s="23"/>
      <c r="AE1202" s="23"/>
      <c r="AF1202" s="23"/>
      <c r="AG1202" s="23"/>
    </row>
    <row r="1203" spans="1:33" x14ac:dyDescent="0.3">
      <c r="A1203" s="23"/>
      <c r="B1203" s="23"/>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row>
    <row r="1204" spans="1:33" x14ac:dyDescent="0.3">
      <c r="A1204" s="23"/>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c r="AA1204" s="23"/>
      <c r="AB1204" s="23"/>
      <c r="AC1204" s="23"/>
      <c r="AD1204" s="23"/>
      <c r="AE1204" s="23"/>
      <c r="AF1204" s="23"/>
      <c r="AG1204" s="23"/>
    </row>
    <row r="1205" spans="1:33" x14ac:dyDescent="0.3">
      <c r="A1205" s="23"/>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row>
    <row r="1206" spans="1:33" x14ac:dyDescent="0.3">
      <c r="A1206" s="23"/>
      <c r="B1206" s="23"/>
      <c r="C1206" s="23"/>
      <c r="D1206" s="23"/>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c r="AA1206" s="23"/>
      <c r="AB1206" s="23"/>
      <c r="AC1206" s="23"/>
      <c r="AD1206" s="23"/>
      <c r="AE1206" s="23"/>
      <c r="AF1206" s="23"/>
      <c r="AG1206" s="23"/>
    </row>
    <row r="1207" spans="1:33" x14ac:dyDescent="0.3">
      <c r="A1207" s="23"/>
      <c r="B1207" s="23"/>
      <c r="C1207" s="23"/>
      <c r="D1207" s="23"/>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row>
    <row r="1208" spans="1:33" x14ac:dyDescent="0.3">
      <c r="A1208" s="23"/>
      <c r="B1208" s="23"/>
      <c r="C1208" s="23"/>
      <c r="D1208" s="23"/>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c r="AA1208" s="23"/>
      <c r="AB1208" s="23"/>
      <c r="AC1208" s="23"/>
      <c r="AD1208" s="23"/>
      <c r="AE1208" s="23"/>
      <c r="AF1208" s="23"/>
      <c r="AG1208" s="23"/>
    </row>
    <row r="1209" spans="1:33" x14ac:dyDescent="0.3">
      <c r="A1209" s="23"/>
      <c r="B1209" s="23"/>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row>
    <row r="1210" spans="1:33" x14ac:dyDescent="0.3">
      <c r="A1210" s="23"/>
      <c r="B1210" s="23"/>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c r="AA1210" s="23"/>
      <c r="AB1210" s="23"/>
      <c r="AC1210" s="23"/>
      <c r="AD1210" s="23"/>
      <c r="AE1210" s="23"/>
      <c r="AF1210" s="23"/>
      <c r="AG1210" s="23"/>
    </row>
    <row r="1211" spans="1:33" x14ac:dyDescent="0.3">
      <c r="A1211" s="23"/>
      <c r="B1211" s="23"/>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row>
    <row r="1212" spans="1:33" x14ac:dyDescent="0.3">
      <c r="A1212" s="23"/>
      <c r="B1212" s="23"/>
      <c r="C1212" s="23"/>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c r="AA1212" s="23"/>
      <c r="AB1212" s="23"/>
      <c r="AC1212" s="23"/>
      <c r="AD1212" s="23"/>
      <c r="AE1212" s="23"/>
      <c r="AF1212" s="23"/>
      <c r="AG1212" s="23"/>
    </row>
    <row r="1213" spans="1:33" x14ac:dyDescent="0.3">
      <c r="A1213" s="23"/>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row>
    <row r="1214" spans="1:33" x14ac:dyDescent="0.3">
      <c r="A1214" s="23"/>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c r="AA1214" s="23"/>
      <c r="AB1214" s="23"/>
      <c r="AC1214" s="23"/>
      <c r="AD1214" s="23"/>
      <c r="AE1214" s="23"/>
      <c r="AF1214" s="23"/>
      <c r="AG1214" s="23"/>
    </row>
    <row r="1215" spans="1:33" x14ac:dyDescent="0.3">
      <c r="A1215" s="23"/>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row>
    <row r="1216" spans="1:33" x14ac:dyDescent="0.3">
      <c r="A1216" s="23"/>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c r="AA1216" s="23"/>
      <c r="AB1216" s="23"/>
      <c r="AC1216" s="23"/>
      <c r="AD1216" s="23"/>
      <c r="AE1216" s="23"/>
      <c r="AF1216" s="23"/>
      <c r="AG1216" s="23"/>
    </row>
    <row r="1217" spans="1:33" x14ac:dyDescent="0.3">
      <c r="A1217" s="23"/>
      <c r="B1217" s="23"/>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row>
    <row r="1218" spans="1:33" x14ac:dyDescent="0.3">
      <c r="A1218" s="23"/>
      <c r="B1218" s="23"/>
      <c r="C1218" s="23"/>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c r="AA1218" s="23"/>
      <c r="AB1218" s="23"/>
      <c r="AC1218" s="23"/>
      <c r="AD1218" s="23"/>
      <c r="AE1218" s="23"/>
      <c r="AF1218" s="23"/>
      <c r="AG1218" s="23"/>
    </row>
    <row r="1219" spans="1:33" x14ac:dyDescent="0.3">
      <c r="A1219" s="23"/>
      <c r="B1219" s="23"/>
      <c r="C1219" s="23"/>
      <c r="D1219" s="23"/>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row>
    <row r="1220" spans="1:33" x14ac:dyDescent="0.3">
      <c r="A1220" s="23"/>
      <c r="B1220" s="23"/>
      <c r="C1220" s="23"/>
      <c r="D1220" s="23"/>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c r="AA1220" s="23"/>
      <c r="AB1220" s="23"/>
      <c r="AC1220" s="23"/>
      <c r="AD1220" s="23"/>
      <c r="AE1220" s="23"/>
      <c r="AF1220" s="23"/>
      <c r="AG1220" s="23"/>
    </row>
    <row r="1221" spans="1:33" x14ac:dyDescent="0.3">
      <c r="A1221" s="23"/>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row>
    <row r="1222" spans="1:33" x14ac:dyDescent="0.3">
      <c r="A1222" s="23"/>
      <c r="B1222" s="23"/>
      <c r="C1222" s="23"/>
      <c r="D1222" s="23"/>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c r="AA1222" s="23"/>
      <c r="AB1222" s="23"/>
      <c r="AC1222" s="23"/>
      <c r="AD1222" s="23"/>
      <c r="AE1222" s="23"/>
      <c r="AF1222" s="23"/>
      <c r="AG1222" s="23"/>
    </row>
    <row r="1223" spans="1:33" x14ac:dyDescent="0.3">
      <c r="A1223" s="23"/>
      <c r="B1223" s="23"/>
      <c r="C1223" s="23"/>
      <c r="D1223" s="23"/>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row>
    <row r="1224" spans="1:33" x14ac:dyDescent="0.3">
      <c r="A1224" s="23"/>
      <c r="B1224" s="23"/>
      <c r="C1224" s="23"/>
      <c r="D1224" s="23"/>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c r="AA1224" s="23"/>
      <c r="AB1224" s="23"/>
      <c r="AC1224" s="23"/>
      <c r="AD1224" s="23"/>
      <c r="AE1224" s="23"/>
      <c r="AF1224" s="23"/>
      <c r="AG1224" s="23"/>
    </row>
    <row r="1225" spans="1:33" x14ac:dyDescent="0.3">
      <c r="A1225" s="23"/>
      <c r="B1225" s="23"/>
      <c r="C1225" s="23"/>
      <c r="D1225" s="23"/>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row>
    <row r="1226" spans="1:33" x14ac:dyDescent="0.3">
      <c r="A1226" s="23"/>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c r="AA1226" s="23"/>
      <c r="AB1226" s="23"/>
      <c r="AC1226" s="23"/>
      <c r="AD1226" s="23"/>
      <c r="AE1226" s="23"/>
      <c r="AF1226" s="23"/>
      <c r="AG1226" s="23"/>
    </row>
    <row r="1227" spans="1:33" x14ac:dyDescent="0.3">
      <c r="A1227" s="23"/>
      <c r="B1227" s="23"/>
      <c r="C1227" s="23"/>
      <c r="D1227" s="23"/>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row>
    <row r="1228" spans="1:33" x14ac:dyDescent="0.3">
      <c r="A1228" s="23"/>
      <c r="B1228" s="23"/>
      <c r="C1228" s="23"/>
      <c r="D1228" s="23"/>
      <c r="E1228" s="23"/>
      <c r="F1228" s="23"/>
      <c r="G1228" s="23"/>
      <c r="H1228" s="23"/>
      <c r="I1228" s="23"/>
      <c r="J1228" s="23"/>
      <c r="K1228" s="23"/>
      <c r="L1228" s="23"/>
      <c r="M1228" s="23"/>
      <c r="N1228" s="23"/>
      <c r="O1228" s="23"/>
      <c r="P1228" s="23"/>
      <c r="Q1228" s="23"/>
      <c r="R1228" s="23"/>
      <c r="S1228" s="23"/>
      <c r="T1228" s="23"/>
      <c r="U1228" s="23"/>
      <c r="V1228" s="23"/>
      <c r="W1228" s="23"/>
      <c r="X1228" s="23"/>
      <c r="Y1228" s="23"/>
      <c r="Z1228" s="23"/>
      <c r="AA1228" s="23"/>
      <c r="AB1228" s="23"/>
      <c r="AC1228" s="23"/>
      <c r="AD1228" s="23"/>
      <c r="AE1228" s="23"/>
      <c r="AF1228" s="23"/>
      <c r="AG1228" s="23"/>
    </row>
    <row r="1229" spans="1:33" x14ac:dyDescent="0.3">
      <c r="A1229" s="23"/>
      <c r="B1229" s="23"/>
      <c r="C1229" s="23"/>
      <c r="D1229" s="23"/>
      <c r="E1229" s="23"/>
      <c r="F1229" s="23"/>
      <c r="G1229" s="23"/>
      <c r="H1229" s="23"/>
      <c r="I1229" s="23"/>
      <c r="J1229" s="23"/>
      <c r="K1229" s="23"/>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row>
    <row r="1230" spans="1:33" x14ac:dyDescent="0.3">
      <c r="A1230" s="23"/>
      <c r="B1230" s="23"/>
      <c r="C1230" s="23"/>
      <c r="D1230" s="23"/>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c r="AA1230" s="23"/>
      <c r="AB1230" s="23"/>
      <c r="AC1230" s="23"/>
      <c r="AD1230" s="23"/>
      <c r="AE1230" s="23"/>
      <c r="AF1230" s="23"/>
      <c r="AG1230" s="23"/>
    </row>
    <row r="1231" spans="1:33" x14ac:dyDescent="0.3">
      <c r="A1231" s="23"/>
      <c r="B1231" s="23"/>
      <c r="C1231" s="23"/>
      <c r="D1231" s="23"/>
      <c r="E1231" s="23"/>
      <c r="F1231" s="23"/>
      <c r="G1231" s="23"/>
      <c r="H1231" s="23"/>
      <c r="I1231" s="23"/>
      <c r="J1231" s="23"/>
      <c r="K1231" s="23"/>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row>
    <row r="1232" spans="1:33" x14ac:dyDescent="0.3">
      <c r="A1232" s="23"/>
      <c r="B1232" s="23"/>
      <c r="C1232" s="23"/>
      <c r="D1232" s="23"/>
      <c r="E1232" s="23"/>
      <c r="F1232" s="23"/>
      <c r="G1232" s="23"/>
      <c r="H1232" s="23"/>
      <c r="I1232" s="23"/>
      <c r="J1232" s="23"/>
      <c r="K1232" s="23"/>
      <c r="L1232" s="23"/>
      <c r="M1232" s="23"/>
      <c r="N1232" s="23"/>
      <c r="O1232" s="23"/>
      <c r="P1232" s="23"/>
      <c r="Q1232" s="23"/>
      <c r="R1232" s="23"/>
      <c r="S1232" s="23"/>
      <c r="T1232" s="23"/>
      <c r="U1232" s="23"/>
      <c r="V1232" s="23"/>
      <c r="W1232" s="23"/>
      <c r="X1232" s="23"/>
      <c r="Y1232" s="23"/>
      <c r="Z1232" s="23"/>
      <c r="AA1232" s="23"/>
      <c r="AB1232" s="23"/>
      <c r="AC1232" s="23"/>
      <c r="AD1232" s="23"/>
      <c r="AE1232" s="23"/>
      <c r="AF1232" s="23"/>
      <c r="AG1232" s="23"/>
    </row>
    <row r="1233" spans="1:33" x14ac:dyDescent="0.3">
      <c r="A1233" s="23"/>
      <c r="B1233" s="23"/>
      <c r="C1233" s="23"/>
      <c r="D1233" s="23"/>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row>
    <row r="1234" spans="1:33" x14ac:dyDescent="0.3">
      <c r="A1234" s="23"/>
      <c r="B1234" s="23"/>
      <c r="C1234" s="23"/>
      <c r="D1234" s="23"/>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c r="AA1234" s="23"/>
      <c r="AB1234" s="23"/>
      <c r="AC1234" s="23"/>
      <c r="AD1234" s="23"/>
      <c r="AE1234" s="23"/>
      <c r="AF1234" s="23"/>
      <c r="AG1234" s="23"/>
    </row>
    <row r="1235" spans="1:33" x14ac:dyDescent="0.3">
      <c r="A1235" s="23"/>
      <c r="B1235" s="23"/>
      <c r="C1235" s="23"/>
      <c r="D1235" s="23"/>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row>
    <row r="1236" spans="1:33" x14ac:dyDescent="0.3">
      <c r="A1236" s="23"/>
      <c r="B1236" s="23"/>
      <c r="C1236" s="23"/>
      <c r="D1236" s="23"/>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c r="AA1236" s="23"/>
      <c r="AB1236" s="23"/>
      <c r="AC1236" s="23"/>
      <c r="AD1236" s="23"/>
      <c r="AE1236" s="23"/>
      <c r="AF1236" s="23"/>
      <c r="AG1236" s="23"/>
    </row>
    <row r="1237" spans="1:33" x14ac:dyDescent="0.3">
      <c r="A1237" s="23"/>
      <c r="B1237" s="23"/>
      <c r="C1237" s="23"/>
      <c r="D1237" s="23"/>
      <c r="E1237" s="23"/>
      <c r="F1237" s="23"/>
      <c r="G1237" s="23"/>
      <c r="H1237" s="23"/>
      <c r="I1237" s="23"/>
      <c r="J1237" s="23"/>
      <c r="K1237" s="23"/>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row>
    <row r="1238" spans="1:33" x14ac:dyDescent="0.3">
      <c r="A1238" s="23"/>
      <c r="B1238" s="23"/>
      <c r="C1238" s="23"/>
      <c r="D1238" s="23"/>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c r="AA1238" s="23"/>
      <c r="AB1238" s="23"/>
      <c r="AC1238" s="23"/>
      <c r="AD1238" s="23"/>
      <c r="AE1238" s="23"/>
      <c r="AF1238" s="23"/>
      <c r="AG1238" s="23"/>
    </row>
    <row r="1239" spans="1:33" x14ac:dyDescent="0.3">
      <c r="A1239" s="23"/>
      <c r="B1239" s="23"/>
      <c r="C1239" s="23"/>
      <c r="D1239" s="23"/>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row>
    <row r="1240" spans="1:33" x14ac:dyDescent="0.3">
      <c r="A1240" s="23"/>
      <c r="B1240" s="23"/>
      <c r="C1240" s="23"/>
      <c r="D1240" s="23"/>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c r="AA1240" s="23"/>
      <c r="AB1240" s="23"/>
      <c r="AC1240" s="23"/>
      <c r="AD1240" s="23"/>
      <c r="AE1240" s="23"/>
      <c r="AF1240" s="23"/>
      <c r="AG1240" s="23"/>
    </row>
    <row r="1241" spans="1:33" x14ac:dyDescent="0.3">
      <c r="A1241" s="23"/>
      <c r="B1241" s="23"/>
      <c r="C1241" s="23"/>
      <c r="D1241" s="23"/>
      <c r="E1241" s="23"/>
      <c r="F1241" s="23"/>
      <c r="G1241" s="23"/>
      <c r="H1241" s="23"/>
      <c r="I1241" s="23"/>
      <c r="J1241" s="23"/>
      <c r="K1241" s="23"/>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row>
    <row r="1242" spans="1:33" x14ac:dyDescent="0.3">
      <c r="A1242" s="23"/>
      <c r="B1242" s="23"/>
      <c r="C1242" s="23"/>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c r="AA1242" s="23"/>
      <c r="AB1242" s="23"/>
      <c r="AC1242" s="23"/>
      <c r="AD1242" s="23"/>
      <c r="AE1242" s="23"/>
      <c r="AF1242" s="23"/>
      <c r="AG1242" s="23"/>
    </row>
    <row r="1243" spans="1:33" x14ac:dyDescent="0.3">
      <c r="A1243" s="23"/>
      <c r="B1243" s="23"/>
      <c r="C1243" s="23"/>
      <c r="D1243" s="23"/>
      <c r="E1243" s="23"/>
      <c r="F1243" s="23"/>
      <c r="G1243" s="23"/>
      <c r="H1243" s="23"/>
      <c r="I1243" s="23"/>
      <c r="J1243" s="23"/>
      <c r="K1243" s="23"/>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row>
    <row r="1244" spans="1:33" x14ac:dyDescent="0.3">
      <c r="A1244" s="23"/>
      <c r="B1244" s="23"/>
      <c r="C1244" s="23"/>
      <c r="D1244" s="23"/>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c r="AA1244" s="23"/>
      <c r="AB1244" s="23"/>
      <c r="AC1244" s="23"/>
      <c r="AD1244" s="23"/>
      <c r="AE1244" s="23"/>
      <c r="AF1244" s="23"/>
      <c r="AG1244" s="23"/>
    </row>
    <row r="1245" spans="1:33" x14ac:dyDescent="0.3">
      <c r="A1245" s="23"/>
      <c r="B1245" s="23"/>
      <c r="C1245" s="23"/>
      <c r="D1245" s="23"/>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row>
    <row r="1246" spans="1:33" x14ac:dyDescent="0.3">
      <c r="A1246" s="23"/>
      <c r="B1246" s="23"/>
      <c r="C1246" s="23"/>
      <c r="D1246" s="23"/>
      <c r="E1246" s="23"/>
      <c r="F1246" s="23"/>
      <c r="G1246" s="23"/>
      <c r="H1246" s="23"/>
      <c r="I1246" s="23"/>
      <c r="J1246" s="23"/>
      <c r="K1246" s="23"/>
      <c r="L1246" s="23"/>
      <c r="M1246" s="23"/>
      <c r="N1246" s="23"/>
      <c r="O1246" s="23"/>
      <c r="P1246" s="23"/>
      <c r="Q1246" s="23"/>
      <c r="R1246" s="23"/>
      <c r="S1246" s="23"/>
      <c r="T1246" s="23"/>
      <c r="U1246" s="23"/>
      <c r="V1246" s="23"/>
      <c r="W1246" s="23"/>
      <c r="X1246" s="23"/>
      <c r="Y1246" s="23"/>
      <c r="Z1246" s="23"/>
      <c r="AA1246" s="23"/>
      <c r="AB1246" s="23"/>
      <c r="AC1246" s="23"/>
      <c r="AD1246" s="23"/>
      <c r="AE1246" s="23"/>
      <c r="AF1246" s="23"/>
      <c r="AG1246" s="23"/>
    </row>
    <row r="1247" spans="1:33" x14ac:dyDescent="0.3">
      <c r="A1247" s="23"/>
      <c r="B1247" s="23"/>
      <c r="C1247" s="23"/>
      <c r="D1247" s="23"/>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row>
    <row r="1248" spans="1:33" x14ac:dyDescent="0.3">
      <c r="A1248" s="23"/>
      <c r="B1248" s="23"/>
      <c r="C1248" s="23"/>
      <c r="D1248" s="23"/>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c r="AA1248" s="23"/>
      <c r="AB1248" s="23"/>
      <c r="AC1248" s="23"/>
      <c r="AD1248" s="23"/>
      <c r="AE1248" s="23"/>
      <c r="AF1248" s="23"/>
      <c r="AG1248" s="23"/>
    </row>
    <row r="1249" spans="1:33" x14ac:dyDescent="0.3">
      <c r="A1249" s="23"/>
      <c r="B1249" s="23"/>
      <c r="C1249" s="23"/>
      <c r="D1249" s="23"/>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row>
    <row r="1250" spans="1:33" x14ac:dyDescent="0.3">
      <c r="A1250" s="23"/>
      <c r="B1250" s="23"/>
      <c r="C1250" s="23"/>
      <c r="D1250" s="23"/>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c r="AA1250" s="23"/>
      <c r="AB1250" s="23"/>
      <c r="AC1250" s="23"/>
      <c r="AD1250" s="23"/>
      <c r="AE1250" s="23"/>
      <c r="AF1250" s="23"/>
      <c r="AG1250" s="23"/>
    </row>
    <row r="1251" spans="1:33" x14ac:dyDescent="0.3">
      <c r="A1251" s="23"/>
      <c r="B1251" s="23"/>
      <c r="C1251" s="23"/>
      <c r="D1251" s="23"/>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row>
    <row r="1252" spans="1:33" x14ac:dyDescent="0.3">
      <c r="A1252" s="23"/>
      <c r="B1252" s="23"/>
      <c r="C1252" s="23"/>
      <c r="D1252" s="23"/>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c r="AA1252" s="23"/>
      <c r="AB1252" s="23"/>
      <c r="AC1252" s="23"/>
      <c r="AD1252" s="23"/>
      <c r="AE1252" s="23"/>
      <c r="AF1252" s="23"/>
      <c r="AG1252" s="23"/>
    </row>
    <row r="1253" spans="1:33" x14ac:dyDescent="0.3">
      <c r="A1253" s="23"/>
      <c r="B1253" s="23"/>
      <c r="C1253" s="23"/>
      <c r="D1253" s="23"/>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row>
    <row r="1254" spans="1:33" x14ac:dyDescent="0.3">
      <c r="A1254" s="23"/>
      <c r="B1254" s="23"/>
      <c r="C1254" s="23"/>
      <c r="D1254" s="23"/>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c r="AA1254" s="23"/>
      <c r="AB1254" s="23"/>
      <c r="AC1254" s="23"/>
      <c r="AD1254" s="23"/>
      <c r="AE1254" s="23"/>
      <c r="AF1254" s="23"/>
      <c r="AG1254" s="23"/>
    </row>
    <row r="1255" spans="1:33" x14ac:dyDescent="0.3">
      <c r="A1255" s="23"/>
      <c r="B1255" s="23"/>
      <c r="C1255" s="23"/>
      <c r="D1255" s="23"/>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row>
    <row r="1256" spans="1:33" x14ac:dyDescent="0.3">
      <c r="A1256" s="23"/>
      <c r="B1256" s="23"/>
      <c r="C1256" s="23"/>
      <c r="D1256" s="23"/>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3"/>
      <c r="AA1256" s="23"/>
      <c r="AB1256" s="23"/>
      <c r="AC1256" s="23"/>
      <c r="AD1256" s="23"/>
      <c r="AE1256" s="23"/>
      <c r="AF1256" s="23"/>
      <c r="AG1256" s="23"/>
    </row>
    <row r="1257" spans="1:33" x14ac:dyDescent="0.3">
      <c r="A1257" s="23"/>
      <c r="B1257" s="23"/>
      <c r="C1257" s="23"/>
      <c r="D1257" s="23"/>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row>
    <row r="1258" spans="1:33" x14ac:dyDescent="0.3">
      <c r="A1258" s="23"/>
      <c r="B1258" s="23"/>
      <c r="C1258" s="23"/>
      <c r="D1258" s="23"/>
      <c r="E1258" s="23"/>
      <c r="F1258" s="23"/>
      <c r="G1258" s="23"/>
      <c r="H1258" s="23"/>
      <c r="I1258" s="23"/>
      <c r="J1258" s="23"/>
      <c r="K1258" s="23"/>
      <c r="L1258" s="23"/>
      <c r="M1258" s="23"/>
      <c r="N1258" s="23"/>
      <c r="O1258" s="23"/>
      <c r="P1258" s="23"/>
      <c r="Q1258" s="23"/>
      <c r="R1258" s="23"/>
      <c r="S1258" s="23"/>
      <c r="T1258" s="23"/>
      <c r="U1258" s="23"/>
      <c r="V1258" s="23"/>
      <c r="W1258" s="23"/>
      <c r="X1258" s="23"/>
      <c r="Y1258" s="23"/>
      <c r="Z1258" s="23"/>
      <c r="AA1258" s="23"/>
      <c r="AB1258" s="23"/>
      <c r="AC1258" s="23"/>
      <c r="AD1258" s="23"/>
      <c r="AE1258" s="23"/>
      <c r="AF1258" s="23"/>
      <c r="AG1258" s="23"/>
    </row>
    <row r="1259" spans="1:33" x14ac:dyDescent="0.3">
      <c r="A1259" s="23"/>
      <c r="B1259" s="23"/>
      <c r="C1259" s="23"/>
      <c r="D1259" s="23"/>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row>
    <row r="1260" spans="1:33" x14ac:dyDescent="0.3">
      <c r="A1260" s="23"/>
      <c r="B1260" s="23"/>
      <c r="C1260" s="23"/>
      <c r="D1260" s="23"/>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c r="AA1260" s="23"/>
      <c r="AB1260" s="23"/>
      <c r="AC1260" s="23"/>
      <c r="AD1260" s="23"/>
      <c r="AE1260" s="23"/>
      <c r="AF1260" s="23"/>
      <c r="AG1260" s="23"/>
    </row>
    <row r="1261" spans="1:33" x14ac:dyDescent="0.3">
      <c r="A1261" s="23"/>
      <c r="B1261" s="23"/>
      <c r="C1261" s="23"/>
      <c r="D1261" s="23"/>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row>
    <row r="1262" spans="1:33" x14ac:dyDescent="0.3">
      <c r="A1262" s="23"/>
      <c r="B1262" s="23"/>
      <c r="C1262" s="23"/>
      <c r="D1262" s="23"/>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c r="AA1262" s="23"/>
      <c r="AB1262" s="23"/>
      <c r="AC1262" s="23"/>
      <c r="AD1262" s="23"/>
      <c r="AE1262" s="23"/>
      <c r="AF1262" s="23"/>
      <c r="AG1262" s="23"/>
    </row>
    <row r="1263" spans="1:33" x14ac:dyDescent="0.3">
      <c r="A1263" s="23"/>
      <c r="B1263" s="23"/>
      <c r="C1263" s="23"/>
      <c r="D1263" s="23"/>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row>
    <row r="1264" spans="1:33" x14ac:dyDescent="0.3">
      <c r="A1264" s="23"/>
      <c r="B1264" s="23"/>
      <c r="C1264" s="23"/>
      <c r="D1264" s="23"/>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c r="AA1264" s="23"/>
      <c r="AB1264" s="23"/>
      <c r="AC1264" s="23"/>
      <c r="AD1264" s="23"/>
      <c r="AE1264" s="23"/>
      <c r="AF1264" s="23"/>
      <c r="AG1264" s="23"/>
    </row>
    <row r="1265" spans="1:33" x14ac:dyDescent="0.3">
      <c r="A1265" s="23"/>
      <c r="B1265" s="23"/>
      <c r="C1265" s="23"/>
      <c r="D1265" s="23"/>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row>
    <row r="1266" spans="1:33" x14ac:dyDescent="0.3">
      <c r="A1266" s="23"/>
      <c r="B1266" s="23"/>
      <c r="C1266" s="23"/>
      <c r="D1266" s="23"/>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c r="AA1266" s="23"/>
      <c r="AB1266" s="23"/>
      <c r="AC1266" s="23"/>
      <c r="AD1266" s="23"/>
      <c r="AE1266" s="23"/>
      <c r="AF1266" s="23"/>
      <c r="AG1266" s="23"/>
    </row>
    <row r="1267" spans="1:33" x14ac:dyDescent="0.3">
      <c r="A1267" s="23"/>
      <c r="B1267" s="23"/>
      <c r="C1267" s="23"/>
      <c r="D1267" s="23"/>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row>
    <row r="1268" spans="1:33" x14ac:dyDescent="0.3">
      <c r="A1268" s="23"/>
      <c r="B1268" s="23"/>
      <c r="C1268" s="23"/>
      <c r="D1268" s="23"/>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c r="AA1268" s="23"/>
      <c r="AB1268" s="23"/>
      <c r="AC1268" s="23"/>
      <c r="AD1268" s="23"/>
      <c r="AE1268" s="23"/>
      <c r="AF1268" s="23"/>
      <c r="AG1268" s="23"/>
    </row>
    <row r="1269" spans="1:33" x14ac:dyDescent="0.3">
      <c r="A1269" s="23"/>
      <c r="B1269" s="23"/>
      <c r="C1269" s="23"/>
      <c r="D1269" s="23"/>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row>
    <row r="1270" spans="1:33" x14ac:dyDescent="0.3">
      <c r="A1270" s="23"/>
      <c r="B1270" s="23"/>
      <c r="C1270" s="23"/>
      <c r="D1270" s="23"/>
      <c r="E1270" s="23"/>
      <c r="F1270" s="23"/>
      <c r="G1270" s="23"/>
      <c r="H1270" s="23"/>
      <c r="I1270" s="23"/>
      <c r="J1270" s="23"/>
      <c r="K1270" s="23"/>
      <c r="L1270" s="23"/>
      <c r="M1270" s="23"/>
      <c r="N1270" s="23"/>
      <c r="O1270" s="23"/>
      <c r="P1270" s="23"/>
      <c r="Q1270" s="23"/>
      <c r="R1270" s="23"/>
      <c r="S1270" s="23"/>
      <c r="T1270" s="23"/>
      <c r="U1270" s="23"/>
      <c r="V1270" s="23"/>
      <c r="W1270" s="23"/>
      <c r="X1270" s="23"/>
      <c r="Y1270" s="23"/>
      <c r="Z1270" s="23"/>
      <c r="AA1270" s="23"/>
      <c r="AB1270" s="23"/>
      <c r="AC1270" s="23"/>
      <c r="AD1270" s="23"/>
      <c r="AE1270" s="23"/>
      <c r="AF1270" s="23"/>
      <c r="AG1270" s="23"/>
    </row>
    <row r="1271" spans="1:33" x14ac:dyDescent="0.3">
      <c r="A1271" s="23"/>
      <c r="B1271" s="23"/>
      <c r="C1271" s="23"/>
      <c r="D1271" s="23"/>
      <c r="E1271" s="23"/>
      <c r="F1271" s="23"/>
      <c r="G1271" s="23"/>
      <c r="H1271" s="23"/>
      <c r="I1271" s="23"/>
      <c r="J1271" s="23"/>
      <c r="K1271" s="23"/>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row>
    <row r="1272" spans="1:33" x14ac:dyDescent="0.3">
      <c r="A1272" s="23"/>
      <c r="B1272" s="23"/>
      <c r="C1272" s="23"/>
      <c r="D1272" s="23"/>
      <c r="E1272" s="23"/>
      <c r="F1272" s="23"/>
      <c r="G1272" s="23"/>
      <c r="H1272" s="23"/>
      <c r="I1272" s="23"/>
      <c r="J1272" s="23"/>
      <c r="K1272" s="23"/>
      <c r="L1272" s="23"/>
      <c r="M1272" s="23"/>
      <c r="N1272" s="23"/>
      <c r="O1272" s="23"/>
      <c r="P1272" s="23"/>
      <c r="Q1272" s="23"/>
      <c r="R1272" s="23"/>
      <c r="S1272" s="23"/>
      <c r="T1272" s="23"/>
      <c r="U1272" s="23"/>
      <c r="V1272" s="23"/>
      <c r="W1272" s="23"/>
      <c r="X1272" s="23"/>
      <c r="Y1272" s="23"/>
      <c r="Z1272" s="23"/>
      <c r="AA1272" s="23"/>
      <c r="AB1272" s="23"/>
      <c r="AC1272" s="23"/>
      <c r="AD1272" s="23"/>
      <c r="AE1272" s="23"/>
      <c r="AF1272" s="23"/>
      <c r="AG1272" s="23"/>
    </row>
    <row r="1273" spans="1:33" x14ac:dyDescent="0.3">
      <c r="A1273" s="23"/>
      <c r="B1273" s="23"/>
      <c r="C1273" s="23"/>
      <c r="D1273" s="23"/>
      <c r="E1273" s="23"/>
      <c r="F1273" s="23"/>
      <c r="G1273" s="23"/>
      <c r="H1273" s="23"/>
      <c r="I1273" s="23"/>
      <c r="J1273" s="23"/>
      <c r="K1273" s="23"/>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row>
    <row r="1274" spans="1:33" x14ac:dyDescent="0.3">
      <c r="A1274" s="23"/>
      <c r="B1274" s="23"/>
      <c r="C1274" s="23"/>
      <c r="D1274" s="23"/>
      <c r="E1274" s="23"/>
      <c r="F1274" s="23"/>
      <c r="G1274" s="23"/>
      <c r="H1274" s="23"/>
      <c r="I1274" s="23"/>
      <c r="J1274" s="23"/>
      <c r="K1274" s="23"/>
      <c r="L1274" s="23"/>
      <c r="M1274" s="23"/>
      <c r="N1274" s="23"/>
      <c r="O1274" s="23"/>
      <c r="P1274" s="23"/>
      <c r="Q1274" s="23"/>
      <c r="R1274" s="23"/>
      <c r="S1274" s="23"/>
      <c r="T1274" s="23"/>
      <c r="U1274" s="23"/>
      <c r="V1274" s="23"/>
      <c r="W1274" s="23"/>
      <c r="X1274" s="23"/>
      <c r="Y1274" s="23"/>
      <c r="Z1274" s="23"/>
      <c r="AA1274" s="23"/>
      <c r="AB1274" s="23"/>
      <c r="AC1274" s="23"/>
      <c r="AD1274" s="23"/>
      <c r="AE1274" s="23"/>
      <c r="AF1274" s="23"/>
      <c r="AG1274" s="23"/>
    </row>
    <row r="1275" spans="1:33" x14ac:dyDescent="0.3">
      <c r="A1275" s="23"/>
      <c r="B1275" s="23"/>
      <c r="C1275" s="23"/>
      <c r="D1275" s="23"/>
      <c r="E1275" s="23"/>
      <c r="F1275" s="23"/>
      <c r="G1275" s="23"/>
      <c r="H1275" s="23"/>
      <c r="I1275" s="23"/>
      <c r="J1275" s="23"/>
      <c r="K1275" s="23"/>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row>
    <row r="1276" spans="1:33" x14ac:dyDescent="0.3">
      <c r="A1276" s="23"/>
      <c r="B1276" s="23"/>
      <c r="C1276" s="23"/>
      <c r="D1276" s="23"/>
      <c r="E1276" s="23"/>
      <c r="F1276" s="23"/>
      <c r="G1276" s="23"/>
      <c r="H1276" s="23"/>
      <c r="I1276" s="23"/>
      <c r="J1276" s="23"/>
      <c r="K1276" s="23"/>
      <c r="L1276" s="23"/>
      <c r="M1276" s="23"/>
      <c r="N1276" s="23"/>
      <c r="O1276" s="23"/>
      <c r="P1276" s="23"/>
      <c r="Q1276" s="23"/>
      <c r="R1276" s="23"/>
      <c r="S1276" s="23"/>
      <c r="T1276" s="23"/>
      <c r="U1276" s="23"/>
      <c r="V1276" s="23"/>
      <c r="W1276" s="23"/>
      <c r="X1276" s="23"/>
      <c r="Y1276" s="23"/>
      <c r="Z1276" s="23"/>
      <c r="AA1276" s="23"/>
      <c r="AB1276" s="23"/>
      <c r="AC1276" s="23"/>
      <c r="AD1276" s="23"/>
      <c r="AE1276" s="23"/>
      <c r="AF1276" s="23"/>
      <c r="AG1276" s="23"/>
    </row>
    <row r="1277" spans="1:33" x14ac:dyDescent="0.3">
      <c r="A1277" s="23"/>
      <c r="B1277" s="23"/>
      <c r="C1277" s="23"/>
      <c r="D1277" s="23"/>
      <c r="E1277" s="23"/>
      <c r="F1277" s="23"/>
      <c r="G1277" s="23"/>
      <c r="H1277" s="23"/>
      <c r="I1277" s="23"/>
      <c r="J1277" s="23"/>
      <c r="K1277" s="23"/>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row>
  </sheetData>
  <hyperlinks>
    <hyperlink ref="B9" location="'Fund I'!A1" display="Fund I" xr:uid="{E07DADFF-3041-4F4B-9B54-A72332CDF0D1}"/>
    <hyperlink ref="B10" location="'Fund IA'!A1" display="Fund IA" xr:uid="{FCB48F22-72B2-4EEF-AC4B-0F9F860C881E}"/>
    <hyperlink ref="B11" location="'Fund II'!A1" display="Fund II" xr:uid="{6F945B61-718C-42BF-9B95-27A7A9C2FE9F}"/>
    <hyperlink ref="B14" location="'Fund IIA'!A1" display="Fund IIA" xr:uid="{0789BF7C-B4A0-42CD-A83A-8BBE34867EB1}"/>
    <hyperlink ref="B15" location="'Fund IIB'!A1" display="Fund IIB " xr:uid="{F17EA7FF-081D-4543-A21F-2B50DB5EE45B}"/>
    <hyperlink ref="B12" location="'Fund III'!A1" display="Fund III" xr:uid="{C5A972C6-8D14-41D5-B8C8-E1B4C30F2C8C}"/>
    <hyperlink ref="B16" location="'Fund 1X'!A1" display="Fund 1X" xr:uid="{C8EA6BF5-27D9-4FC5-AF4A-97A27AC1CB89}"/>
    <hyperlink ref="B13" location="'Fund IV'!A1" display="Fund IV" xr:uid="{9AE20383-1383-4F02-8D0D-DE2072DD1A0C}"/>
    <hyperlink ref="B17" location="'Fund 1Y'!A1" display="Fund 1Y" xr:uid="{DC261306-A31C-45BC-B989-07CDEB9B7907}"/>
    <hyperlink ref="B18" location="'Fund V'!A1" display="Fund V" xr:uid="{D2B94796-494D-4E86-8788-17408476251C}"/>
  </hyperlink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BEBC-EA68-4311-82E1-9A8EB5C98586}">
  <dimension ref="B2:AF86"/>
  <sheetViews>
    <sheetView showGridLines="0" zoomScaleNormal="100" workbookViewId="0">
      <pane xSplit="4" ySplit="3" topLeftCell="N64" activePane="bottomRight" state="frozen"/>
      <selection activeCell="T12" sqref="B1:AI56"/>
      <selection pane="topRight" activeCell="T12" sqref="B1:AI56"/>
      <selection pane="bottomLeft" activeCell="T12" sqref="B1:AI56"/>
      <selection pane="bottomRight" activeCell="T4" sqref="T4:T82"/>
    </sheetView>
  </sheetViews>
  <sheetFormatPr defaultColWidth="8.6328125" defaultRowHeight="13" x14ac:dyDescent="0.3"/>
  <cols>
    <col min="1" max="1" width="4.08984375" style="43" customWidth="1"/>
    <col min="2" max="2" width="8.6328125" style="4"/>
    <col min="3" max="3" width="38.36328125" style="43" customWidth="1"/>
    <col min="4" max="4" width="21.90625" style="43" customWidth="1"/>
    <col min="5" max="5" width="14.6328125" style="43" customWidth="1"/>
    <col min="6" max="6" width="22.36328125" style="43" bestFit="1" customWidth="1"/>
    <col min="7" max="7" width="14.6328125" style="43" customWidth="1"/>
    <col min="8" max="8" width="16.90625" style="43" customWidth="1"/>
    <col min="9" max="9" width="16.6328125" style="43" customWidth="1"/>
    <col min="10" max="10" width="15" style="43" bestFit="1" customWidth="1"/>
    <col min="11" max="12" width="18.36328125" style="43" bestFit="1" customWidth="1"/>
    <col min="13" max="13" width="16" style="43" bestFit="1" customWidth="1"/>
    <col min="14" max="14" width="15.6328125" style="43" bestFit="1" customWidth="1"/>
    <col min="15" max="15" width="16.6328125" style="43" customWidth="1"/>
    <col min="16" max="16" width="18.6328125" style="67" customWidth="1"/>
    <col min="17" max="19" width="18.6328125" style="43" customWidth="1"/>
    <col min="20" max="22" width="18.6328125" style="67" customWidth="1"/>
    <col min="23" max="23" width="18.6328125" style="160" customWidth="1"/>
    <col min="24" max="24" width="18.6328125" style="43" customWidth="1"/>
    <col min="25" max="25" width="11.54296875" style="43" customWidth="1"/>
    <col min="26" max="26" width="9.453125" style="67" customWidth="1"/>
    <col min="27" max="27" width="38.54296875" style="43" customWidth="1"/>
    <col min="28" max="28" width="55.453125" style="43" customWidth="1"/>
    <col min="29" max="29" width="46.6328125" style="43" bestFit="1" customWidth="1"/>
    <col min="30" max="30" width="17.453125" style="43" bestFit="1" customWidth="1"/>
    <col min="31" max="31" width="12" style="43" customWidth="1"/>
    <col min="32" max="32" width="11.08984375" style="43" customWidth="1"/>
    <col min="33" max="16384" width="8.6328125" style="43"/>
  </cols>
  <sheetData>
    <row r="2" spans="2:32" ht="39" x14ac:dyDescent="0.3">
      <c r="B2" s="40" t="s">
        <v>0</v>
      </c>
      <c r="C2" s="40" t="s">
        <v>1</v>
      </c>
      <c r="D2" s="40" t="s">
        <v>2</v>
      </c>
      <c r="E2" s="40" t="s">
        <v>3</v>
      </c>
      <c r="F2" s="40" t="s">
        <v>4</v>
      </c>
      <c r="G2" s="40" t="s">
        <v>5</v>
      </c>
      <c r="H2" s="40" t="s">
        <v>6</v>
      </c>
      <c r="I2" s="40" t="s">
        <v>7</v>
      </c>
      <c r="J2" s="40" t="s">
        <v>8</v>
      </c>
      <c r="K2" s="40" t="s">
        <v>9</v>
      </c>
      <c r="L2" s="41" t="s">
        <v>10</v>
      </c>
      <c r="M2" s="41" t="s">
        <v>11</v>
      </c>
      <c r="N2" s="41" t="s">
        <v>12</v>
      </c>
      <c r="O2" s="40" t="s">
        <v>13</v>
      </c>
      <c r="P2" s="73" t="s">
        <v>14</v>
      </c>
      <c r="Q2" s="40" t="s">
        <v>15</v>
      </c>
      <c r="R2" s="41" t="s">
        <v>621</v>
      </c>
      <c r="S2" s="41" t="s">
        <v>622</v>
      </c>
      <c r="T2" s="73" t="s">
        <v>16</v>
      </c>
      <c r="U2" s="73" t="s">
        <v>17</v>
      </c>
      <c r="V2" s="73" t="s">
        <v>18</v>
      </c>
      <c r="W2" s="158" t="s">
        <v>19</v>
      </c>
      <c r="X2" s="41" t="s">
        <v>1130</v>
      </c>
      <c r="Y2" s="41" t="s">
        <v>20</v>
      </c>
      <c r="Z2" s="74" t="s">
        <v>21</v>
      </c>
      <c r="AA2" s="40" t="s">
        <v>22</v>
      </c>
      <c r="AB2" s="40" t="s">
        <v>955</v>
      </c>
      <c r="AC2" s="40" t="s">
        <v>23</v>
      </c>
      <c r="AD2" s="40" t="s">
        <v>24</v>
      </c>
      <c r="AE2" s="40" t="s">
        <v>25</v>
      </c>
      <c r="AF2" s="40" t="s">
        <v>265</v>
      </c>
    </row>
    <row r="3" spans="2:32" x14ac:dyDescent="0.3">
      <c r="B3" s="44"/>
      <c r="C3" s="44"/>
      <c r="D3" s="44"/>
      <c r="E3" s="44"/>
      <c r="F3" s="44"/>
      <c r="G3" s="44" t="s">
        <v>26</v>
      </c>
      <c r="H3" s="44"/>
      <c r="I3" s="44"/>
      <c r="J3" s="44" t="s">
        <v>1129</v>
      </c>
      <c r="K3" s="44" t="s">
        <v>1129</v>
      </c>
      <c r="L3" s="44" t="s">
        <v>1129</v>
      </c>
      <c r="M3" s="44"/>
      <c r="N3" s="44" t="s">
        <v>1129</v>
      </c>
      <c r="O3" s="44"/>
      <c r="P3" s="44" t="s">
        <v>1129</v>
      </c>
      <c r="Q3" s="44" t="s">
        <v>1129</v>
      </c>
      <c r="R3" s="44" t="s">
        <v>27</v>
      </c>
      <c r="S3" s="44" t="s">
        <v>27</v>
      </c>
      <c r="T3" s="44" t="s">
        <v>1129</v>
      </c>
      <c r="U3" s="44" t="s">
        <v>1129</v>
      </c>
      <c r="V3" s="44" t="s">
        <v>1129</v>
      </c>
      <c r="W3" s="159" t="s">
        <v>268</v>
      </c>
      <c r="X3" s="44" t="s">
        <v>27</v>
      </c>
      <c r="Y3" s="44"/>
      <c r="Z3" s="54"/>
      <c r="AA3" s="44"/>
      <c r="AB3" s="44"/>
      <c r="AC3" s="44"/>
      <c r="AD3" s="44"/>
      <c r="AE3" s="44"/>
      <c r="AF3" s="44"/>
    </row>
    <row r="4" spans="2:32" x14ac:dyDescent="0.3">
      <c r="B4" s="4">
        <v>1</v>
      </c>
      <c r="C4" s="43" t="s">
        <v>577</v>
      </c>
      <c r="D4" s="43" t="s">
        <v>690</v>
      </c>
      <c r="E4" s="43" t="s">
        <v>92</v>
      </c>
      <c r="F4" s="43" t="s">
        <v>182</v>
      </c>
      <c r="G4" s="134">
        <v>41177</v>
      </c>
      <c r="H4" s="43" t="s">
        <v>32</v>
      </c>
      <c r="I4" s="43" t="s">
        <v>418</v>
      </c>
      <c r="J4" s="142">
        <v>121.74922611629887</v>
      </c>
      <c r="K4" s="142">
        <v>41634.549999999996</v>
      </c>
      <c r="L4" s="143">
        <f>K4</f>
        <v>41634.549999999996</v>
      </c>
      <c r="M4" s="144">
        <v>0.3</v>
      </c>
      <c r="N4" s="143">
        <f>L4*(1-M4)</f>
        <v>29144.184999999994</v>
      </c>
      <c r="O4" s="43" t="s">
        <v>976</v>
      </c>
      <c r="P4" s="82">
        <v>22.2</v>
      </c>
      <c r="Q4" s="157">
        <v>14.596340274250878</v>
      </c>
      <c r="R4" s="145">
        <v>7.7496880059996151E-2</v>
      </c>
      <c r="S4" s="145">
        <v>1.4505104859037022E-2</v>
      </c>
      <c r="T4" s="67">
        <f>U4+V4</f>
        <v>1233.2587264649687</v>
      </c>
      <c r="U4" s="82">
        <v>443.1144164649686</v>
      </c>
      <c r="V4" s="82">
        <v>790.14431000000002</v>
      </c>
      <c r="W4" s="82">
        <f>T4/P4</f>
        <v>55.552194885809406</v>
      </c>
      <c r="X4" s="145">
        <v>0.59347860351562498</v>
      </c>
      <c r="Y4" s="43" t="s">
        <v>915</v>
      </c>
      <c r="Z4" s="50">
        <f>V4/(P4-Q4)</f>
        <v>103.91631641855909</v>
      </c>
      <c r="AA4" s="43" t="s">
        <v>441</v>
      </c>
      <c r="AB4" s="43" t="s">
        <v>442</v>
      </c>
      <c r="AC4" s="43" t="s">
        <v>443</v>
      </c>
      <c r="AD4" s="43" t="s">
        <v>69</v>
      </c>
      <c r="AE4" s="43" t="s">
        <v>36</v>
      </c>
      <c r="AF4" s="43" t="s">
        <v>689</v>
      </c>
    </row>
    <row r="5" spans="2:32" x14ac:dyDescent="0.3">
      <c r="B5" s="4">
        <v>2</v>
      </c>
      <c r="C5" s="43" t="s">
        <v>691</v>
      </c>
      <c r="D5" s="43" t="s">
        <v>291</v>
      </c>
      <c r="E5" s="43" t="s">
        <v>81</v>
      </c>
      <c r="F5" s="43" t="s">
        <v>293</v>
      </c>
      <c r="G5" s="134">
        <v>40632</v>
      </c>
      <c r="H5" s="43" t="s">
        <v>32</v>
      </c>
      <c r="I5" s="43" t="s">
        <v>66</v>
      </c>
      <c r="J5" s="142">
        <v>149.03639999999999</v>
      </c>
      <c r="K5" s="142">
        <v>48917.542305129602</v>
      </c>
      <c r="L5" s="143">
        <v>37628.878696253545</v>
      </c>
      <c r="M5" s="144">
        <v>0.15</v>
      </c>
      <c r="N5" s="143">
        <f>L5*(1-M5)</f>
        <v>31984.546891815513</v>
      </c>
      <c r="O5" s="43" t="s">
        <v>913</v>
      </c>
      <c r="P5" s="82">
        <v>13.500000000000007</v>
      </c>
      <c r="Q5" s="157">
        <v>1.1124059460451461</v>
      </c>
      <c r="R5" s="145">
        <v>9.058189811348101E-2</v>
      </c>
      <c r="S5" s="145">
        <v>1.7580432929160327E-3</v>
      </c>
      <c r="T5" s="67">
        <f t="shared" ref="T5:T68" si="0">U5+V5</f>
        <v>935.57900553139996</v>
      </c>
      <c r="U5" s="82">
        <v>40.342123951600001</v>
      </c>
      <c r="V5" s="82">
        <v>895.23688157979996</v>
      </c>
      <c r="W5" s="82">
        <f t="shared" ref="W5:W68" si="1">T5/P5</f>
        <v>69.302148557881438</v>
      </c>
      <c r="X5" s="145">
        <v>0.41588794589042666</v>
      </c>
      <c r="Y5" s="43" t="s">
        <v>916</v>
      </c>
      <c r="Z5" s="50">
        <f>V5/(P5-Q5)</f>
        <v>72.268826188567814</v>
      </c>
      <c r="AA5" s="43" t="s">
        <v>294</v>
      </c>
      <c r="AB5" s="43" t="s">
        <v>295</v>
      </c>
      <c r="AC5" s="43" t="s">
        <v>51</v>
      </c>
      <c r="AD5" s="43" t="s">
        <v>69</v>
      </c>
      <c r="AE5" s="43" t="s">
        <v>36</v>
      </c>
      <c r="AF5" s="43" t="s">
        <v>689</v>
      </c>
    </row>
    <row r="6" spans="2:32" x14ac:dyDescent="0.3">
      <c r="B6" s="4">
        <v>3</v>
      </c>
      <c r="C6" s="43" t="s">
        <v>416</v>
      </c>
      <c r="D6" s="43" t="s">
        <v>417</v>
      </c>
      <c r="E6" s="43" t="s">
        <v>81</v>
      </c>
      <c r="F6" s="43" t="s">
        <v>271</v>
      </c>
      <c r="G6" s="134">
        <v>41472</v>
      </c>
      <c r="H6" s="43" t="s">
        <v>32</v>
      </c>
      <c r="I6" s="43" t="s">
        <v>612</v>
      </c>
      <c r="J6" s="142">
        <v>117.26804123711341</v>
      </c>
      <c r="K6" s="142" t="s">
        <v>612</v>
      </c>
      <c r="L6" s="142" t="s">
        <v>612</v>
      </c>
      <c r="M6" s="146">
        <v>0</v>
      </c>
      <c r="N6" s="143">
        <f>M6</f>
        <v>0</v>
      </c>
      <c r="O6" s="43" t="s">
        <v>97</v>
      </c>
      <c r="P6" s="82">
        <v>12</v>
      </c>
      <c r="Q6" s="157">
        <v>0</v>
      </c>
      <c r="R6" s="145">
        <v>7.3099999999999998E-2</v>
      </c>
      <c r="S6" s="145" t="s">
        <v>612</v>
      </c>
      <c r="T6" s="67">
        <f t="shared" si="0"/>
        <v>387.831276</v>
      </c>
      <c r="U6" s="82">
        <v>0</v>
      </c>
      <c r="V6" s="82">
        <v>387.831276</v>
      </c>
      <c r="W6" s="82">
        <f t="shared" si="1"/>
        <v>32.319273000000003</v>
      </c>
      <c r="X6" s="145">
        <v>0.62960110351562504</v>
      </c>
      <c r="Y6" s="43" t="s">
        <v>651</v>
      </c>
      <c r="Z6" s="50">
        <f>V6/P6</f>
        <v>32.319273000000003</v>
      </c>
      <c r="AA6" s="43" t="s">
        <v>272</v>
      </c>
      <c r="AB6" s="43" t="s">
        <v>676</v>
      </c>
      <c r="AC6" s="43" t="s">
        <v>274</v>
      </c>
      <c r="AD6" s="43" t="s">
        <v>36</v>
      </c>
      <c r="AE6" s="43" t="s">
        <v>60</v>
      </c>
      <c r="AF6" s="43" t="s">
        <v>461</v>
      </c>
    </row>
    <row r="7" spans="2:32" x14ac:dyDescent="0.3">
      <c r="B7" s="4">
        <v>4</v>
      </c>
      <c r="C7" s="43" t="s">
        <v>625</v>
      </c>
      <c r="D7" s="43" t="s">
        <v>626</v>
      </c>
      <c r="E7" s="43" t="s">
        <v>92</v>
      </c>
      <c r="F7" s="43" t="s">
        <v>646</v>
      </c>
      <c r="G7" s="134">
        <v>41551</v>
      </c>
      <c r="H7" s="43" t="s">
        <v>32</v>
      </c>
      <c r="I7" s="43" t="s">
        <v>56</v>
      </c>
      <c r="J7" s="142">
        <v>382.8</v>
      </c>
      <c r="K7" s="142">
        <v>969.68000000000006</v>
      </c>
      <c r="L7" s="142">
        <f>K7</f>
        <v>969.68000000000006</v>
      </c>
      <c r="M7" s="144">
        <v>1</v>
      </c>
      <c r="N7" s="143">
        <f>L7*(1-M7)</f>
        <v>0</v>
      </c>
      <c r="O7" s="43" t="s">
        <v>650</v>
      </c>
      <c r="P7" s="82">
        <v>6.9611329999999993</v>
      </c>
      <c r="Q7" s="157">
        <v>0</v>
      </c>
      <c r="R7" s="145">
        <v>7.5268817204301064E-2</v>
      </c>
      <c r="S7" s="145">
        <v>4.5927102056937154E-2</v>
      </c>
      <c r="T7" s="67">
        <f t="shared" si="0"/>
        <v>0</v>
      </c>
      <c r="U7" s="82">
        <v>0</v>
      </c>
      <c r="V7" s="82">
        <v>0</v>
      </c>
      <c r="W7" s="82">
        <f t="shared" si="1"/>
        <v>0</v>
      </c>
      <c r="X7" s="145" t="s">
        <v>49</v>
      </c>
      <c r="Z7" s="50"/>
      <c r="AA7" s="43" t="s">
        <v>658</v>
      </c>
      <c r="AB7" s="43" t="s">
        <v>678</v>
      </c>
      <c r="AC7" s="43" t="s">
        <v>274</v>
      </c>
      <c r="AD7" s="43" t="s">
        <v>36</v>
      </c>
      <c r="AE7" s="43" t="s">
        <v>69</v>
      </c>
      <c r="AF7" s="43" t="s">
        <v>552</v>
      </c>
    </row>
    <row r="8" spans="2:32" x14ac:dyDescent="0.3">
      <c r="B8" s="4">
        <v>5</v>
      </c>
      <c r="C8" s="43" t="s">
        <v>692</v>
      </c>
      <c r="D8" s="43" t="s">
        <v>693</v>
      </c>
      <c r="E8" s="43" t="s">
        <v>30</v>
      </c>
      <c r="F8" s="43" t="s">
        <v>120</v>
      </c>
      <c r="G8" s="134">
        <v>41047</v>
      </c>
      <c r="H8" s="43" t="s">
        <v>32</v>
      </c>
      <c r="I8" s="43" t="s">
        <v>612</v>
      </c>
      <c r="J8" s="142">
        <v>127.04804695</v>
      </c>
      <c r="K8" s="142" t="s">
        <v>612</v>
      </c>
      <c r="L8" s="142" t="s">
        <v>612</v>
      </c>
      <c r="M8" s="146">
        <v>0</v>
      </c>
      <c r="N8" s="143">
        <f t="shared" ref="N8:N66" si="2">M8</f>
        <v>0</v>
      </c>
      <c r="O8" s="43" t="s">
        <v>97</v>
      </c>
      <c r="P8" s="82">
        <v>5.1623762376237625</v>
      </c>
      <c r="Q8" s="157">
        <v>0</v>
      </c>
      <c r="R8" s="145">
        <v>1.9699999999999999E-2</v>
      </c>
      <c r="S8" s="145" t="s">
        <v>612</v>
      </c>
      <c r="T8" s="67">
        <f t="shared" si="0"/>
        <v>47.400000000000006</v>
      </c>
      <c r="U8" s="82">
        <v>0</v>
      </c>
      <c r="V8" s="82">
        <v>47.400000000000006</v>
      </c>
      <c r="W8" s="82">
        <f t="shared" si="1"/>
        <v>9.1818181818181834</v>
      </c>
      <c r="X8" s="145">
        <v>2.9664271679687508</v>
      </c>
      <c r="Y8" s="43" t="s">
        <v>816</v>
      </c>
      <c r="Z8" s="50">
        <f t="shared" ref="Z8:Z66" si="3">V8/P8</f>
        <v>9.1818181818181834</v>
      </c>
      <c r="AA8" s="43" t="s">
        <v>825</v>
      </c>
      <c r="AB8" s="43" t="s">
        <v>860</v>
      </c>
      <c r="AC8" s="43" t="s">
        <v>157</v>
      </c>
      <c r="AD8" s="43" t="s">
        <v>36</v>
      </c>
      <c r="AE8" s="43" t="s">
        <v>36</v>
      </c>
      <c r="AF8" s="43" t="s">
        <v>461</v>
      </c>
    </row>
    <row r="9" spans="2:32" x14ac:dyDescent="0.3">
      <c r="C9" s="43" t="s">
        <v>694</v>
      </c>
      <c r="D9" s="43" t="s">
        <v>695</v>
      </c>
      <c r="E9" s="43" t="s">
        <v>39</v>
      </c>
      <c r="F9" s="43" t="s">
        <v>120</v>
      </c>
      <c r="G9" s="134">
        <v>42097</v>
      </c>
      <c r="H9" s="43" t="s">
        <v>612</v>
      </c>
      <c r="I9" s="43" t="s">
        <v>612</v>
      </c>
      <c r="J9" s="142" t="s">
        <v>612</v>
      </c>
      <c r="K9" s="142" t="s">
        <v>612</v>
      </c>
      <c r="L9" s="142" t="s">
        <v>612</v>
      </c>
      <c r="M9" s="146">
        <v>0</v>
      </c>
      <c r="N9" s="143">
        <f t="shared" si="2"/>
        <v>0</v>
      </c>
      <c r="O9" s="43" t="s">
        <v>97</v>
      </c>
      <c r="P9" s="82">
        <v>12.437623762376241</v>
      </c>
      <c r="Q9" s="157">
        <v>0</v>
      </c>
      <c r="R9" s="145" t="s">
        <v>612</v>
      </c>
      <c r="S9" s="145" t="s">
        <v>612</v>
      </c>
      <c r="T9" s="67">
        <f t="shared" si="0"/>
        <v>120.47399999999999</v>
      </c>
      <c r="U9" s="82">
        <v>0</v>
      </c>
      <c r="V9" s="82">
        <v>120.47399999999999</v>
      </c>
      <c r="W9" s="82">
        <f t="shared" si="1"/>
        <v>9.6862553733481889</v>
      </c>
      <c r="X9" s="145">
        <v>0.52789122070312522</v>
      </c>
      <c r="Y9" s="43" t="s">
        <v>817</v>
      </c>
      <c r="Z9" s="50">
        <f t="shared" si="3"/>
        <v>9.6862553733481889</v>
      </c>
      <c r="AB9" s="43" t="s">
        <v>861</v>
      </c>
      <c r="AC9" s="43" t="s">
        <v>888</v>
      </c>
      <c r="AE9" s="43" t="s">
        <v>36</v>
      </c>
      <c r="AF9" s="43" t="s">
        <v>461</v>
      </c>
    </row>
    <row r="10" spans="2:32" x14ac:dyDescent="0.3">
      <c r="B10" s="4">
        <v>6</v>
      </c>
      <c r="C10" s="43" t="s">
        <v>696</v>
      </c>
      <c r="D10" s="43" t="s">
        <v>697</v>
      </c>
      <c r="E10" s="43" t="s">
        <v>92</v>
      </c>
      <c r="F10" s="43" t="s">
        <v>55</v>
      </c>
      <c r="G10" s="134">
        <v>40636</v>
      </c>
      <c r="H10" s="43" t="s">
        <v>32</v>
      </c>
      <c r="I10" s="43" t="s">
        <v>612</v>
      </c>
      <c r="J10" s="142">
        <v>46.5</v>
      </c>
      <c r="K10" s="142">
        <v>969.68000000000006</v>
      </c>
      <c r="L10" s="142">
        <f>K10</f>
        <v>969.68000000000006</v>
      </c>
      <c r="M10" s="144">
        <v>1</v>
      </c>
      <c r="N10" s="143">
        <f>L10*(1-M10)</f>
        <v>0</v>
      </c>
      <c r="O10" s="43" t="s">
        <v>650</v>
      </c>
      <c r="P10" s="82">
        <v>9.9</v>
      </c>
      <c r="Q10" s="157">
        <v>0</v>
      </c>
      <c r="R10" s="145">
        <v>7.5268817204301064E-2</v>
      </c>
      <c r="S10" s="145">
        <v>3.871769274003254E-2</v>
      </c>
      <c r="T10" s="67">
        <f t="shared" si="0"/>
        <v>0</v>
      </c>
      <c r="U10" s="82">
        <v>0</v>
      </c>
      <c r="V10" s="82">
        <v>0</v>
      </c>
      <c r="W10" s="82">
        <f t="shared" si="1"/>
        <v>0</v>
      </c>
      <c r="X10" s="145" t="s">
        <v>49</v>
      </c>
      <c r="Z10" s="50"/>
      <c r="AA10" s="43" t="s">
        <v>826</v>
      </c>
      <c r="AB10" s="43" t="s">
        <v>862</v>
      </c>
      <c r="AC10" s="43" t="s">
        <v>889</v>
      </c>
      <c r="AD10" s="43" t="s">
        <v>36</v>
      </c>
      <c r="AE10" s="43" t="s">
        <v>36</v>
      </c>
      <c r="AF10" s="43" t="s">
        <v>552</v>
      </c>
    </row>
    <row r="11" spans="2:32" x14ac:dyDescent="0.3">
      <c r="B11" s="4">
        <v>7</v>
      </c>
      <c r="C11" s="43" t="s">
        <v>623</v>
      </c>
      <c r="D11" s="43" t="s">
        <v>624</v>
      </c>
      <c r="E11" s="43" t="s">
        <v>39</v>
      </c>
      <c r="F11" s="43" t="s">
        <v>127</v>
      </c>
      <c r="G11" s="134">
        <v>41292</v>
      </c>
      <c r="H11" s="43" t="s">
        <v>32</v>
      </c>
      <c r="I11" s="43" t="s">
        <v>612</v>
      </c>
      <c r="J11" s="142">
        <v>137.50215029574838</v>
      </c>
      <c r="K11" s="142" t="s">
        <v>612</v>
      </c>
      <c r="L11" s="142" t="s">
        <v>612</v>
      </c>
      <c r="M11" s="146">
        <v>0</v>
      </c>
      <c r="N11" s="143">
        <f t="shared" si="2"/>
        <v>0</v>
      </c>
      <c r="O11" s="43" t="s">
        <v>97</v>
      </c>
      <c r="P11" s="82">
        <v>8.2999999999999989</v>
      </c>
      <c r="Q11" s="157">
        <v>0</v>
      </c>
      <c r="R11" s="145">
        <v>0.1384</v>
      </c>
      <c r="S11" s="145" t="s">
        <v>612</v>
      </c>
      <c r="T11" s="67">
        <f t="shared" si="0"/>
        <v>234.30061190000004</v>
      </c>
      <c r="U11" s="82">
        <v>0</v>
      </c>
      <c r="V11" s="82">
        <v>234.30061190000004</v>
      </c>
      <c r="W11" s="82">
        <f t="shared" si="1"/>
        <v>28.228989385542178</v>
      </c>
      <c r="X11" s="145">
        <v>0.45172761230468761</v>
      </c>
      <c r="Y11" s="43" t="s">
        <v>918</v>
      </c>
      <c r="Z11" s="50">
        <f t="shared" si="3"/>
        <v>28.228989385542178</v>
      </c>
      <c r="AA11" s="43" t="s">
        <v>657</v>
      </c>
      <c r="AC11" s="43" t="s">
        <v>438</v>
      </c>
      <c r="AD11" s="43" t="s">
        <v>36</v>
      </c>
      <c r="AE11" s="43" t="s">
        <v>60</v>
      </c>
      <c r="AF11" s="43" t="s">
        <v>461</v>
      </c>
    </row>
    <row r="12" spans="2:32" x14ac:dyDescent="0.3">
      <c r="B12" s="4">
        <v>8</v>
      </c>
      <c r="C12" s="43" t="s">
        <v>424</v>
      </c>
      <c r="D12" s="43" t="s">
        <v>425</v>
      </c>
      <c r="E12" s="43" t="s">
        <v>30</v>
      </c>
      <c r="F12" s="43" t="str">
        <f>'Fund 1X'!F6</f>
        <v>SaaS</v>
      </c>
      <c r="G12" s="134">
        <v>41096</v>
      </c>
      <c r="H12" s="43" t="s">
        <v>32</v>
      </c>
      <c r="I12" s="43" t="s">
        <v>612</v>
      </c>
      <c r="J12" s="142">
        <v>74.115367435599993</v>
      </c>
      <c r="K12" s="142" t="s">
        <v>612</v>
      </c>
      <c r="L12" s="142" t="s">
        <v>612</v>
      </c>
      <c r="M12" s="146">
        <v>0</v>
      </c>
      <c r="N12" s="143">
        <f t="shared" si="2"/>
        <v>0</v>
      </c>
      <c r="O12" s="43" t="s">
        <v>97</v>
      </c>
      <c r="P12" s="82">
        <v>10</v>
      </c>
      <c r="Q12" s="157">
        <v>0</v>
      </c>
      <c r="R12" s="145">
        <v>0.12</v>
      </c>
      <c r="S12" s="145" t="s">
        <v>612</v>
      </c>
      <c r="T12" s="67">
        <f t="shared" si="0"/>
        <v>199.34941800000001</v>
      </c>
      <c r="U12" s="82">
        <v>0</v>
      </c>
      <c r="V12" s="82">
        <v>199.34941800000001</v>
      </c>
      <c r="W12" s="82">
        <f t="shared" si="1"/>
        <v>19.934941800000001</v>
      </c>
      <c r="X12" s="145">
        <v>0.43172992675781252</v>
      </c>
      <c r="Y12" s="43" t="s">
        <v>651</v>
      </c>
      <c r="Z12" s="50">
        <f t="shared" si="3"/>
        <v>19.934941800000001</v>
      </c>
      <c r="AA12" s="43" t="s">
        <v>426</v>
      </c>
      <c r="AB12" s="43" t="s">
        <v>872</v>
      </c>
      <c r="AC12" s="43" t="s">
        <v>274</v>
      </c>
      <c r="AD12" s="43" t="s">
        <v>36</v>
      </c>
      <c r="AE12" s="43" t="s">
        <v>36</v>
      </c>
      <c r="AF12" s="43" t="s">
        <v>461</v>
      </c>
    </row>
    <row r="13" spans="2:32" x14ac:dyDescent="0.3">
      <c r="B13" s="4">
        <v>9</v>
      </c>
      <c r="C13" s="43" t="s">
        <v>428</v>
      </c>
      <c r="D13" s="43" t="s">
        <v>429</v>
      </c>
      <c r="E13" s="43" t="s">
        <v>81</v>
      </c>
      <c r="F13" s="43" t="s">
        <v>55</v>
      </c>
      <c r="G13" s="134">
        <v>41046</v>
      </c>
      <c r="H13" s="43" t="s">
        <v>32</v>
      </c>
      <c r="I13" s="43" t="s">
        <v>612</v>
      </c>
      <c r="J13" s="142">
        <v>57.767017000000003</v>
      </c>
      <c r="K13" s="142" t="s">
        <v>612</v>
      </c>
      <c r="L13" s="142" t="s">
        <v>612</v>
      </c>
      <c r="M13" s="146">
        <v>0</v>
      </c>
      <c r="N13" s="143">
        <f t="shared" si="2"/>
        <v>0</v>
      </c>
      <c r="O13" s="43" t="s">
        <v>97</v>
      </c>
      <c r="P13" s="82">
        <v>11.200000000000001</v>
      </c>
      <c r="Q13" s="157">
        <v>0</v>
      </c>
      <c r="R13" s="145">
        <v>9.8787496678251541E-2</v>
      </c>
      <c r="S13" s="145" t="s">
        <v>612</v>
      </c>
      <c r="T13" s="67">
        <f t="shared" si="0"/>
        <v>157.90365</v>
      </c>
      <c r="U13" s="82">
        <v>0</v>
      </c>
      <c r="V13" s="82">
        <v>157.90365</v>
      </c>
      <c r="W13" s="82">
        <f t="shared" si="1"/>
        <v>14.098540178571428</v>
      </c>
      <c r="X13" s="145">
        <v>0.39209596191406249</v>
      </c>
      <c r="Y13" s="43" t="s">
        <v>651</v>
      </c>
      <c r="Z13" s="50">
        <f t="shared" si="3"/>
        <v>14.098540178571428</v>
      </c>
      <c r="AA13" s="43" t="s">
        <v>430</v>
      </c>
      <c r="AB13" s="43" t="s">
        <v>919</v>
      </c>
      <c r="AC13" s="43" t="s">
        <v>432</v>
      </c>
      <c r="AD13" s="43" t="s">
        <v>36</v>
      </c>
      <c r="AE13" s="43" t="s">
        <v>36</v>
      </c>
      <c r="AF13" s="43" t="s">
        <v>461</v>
      </c>
    </row>
    <row r="14" spans="2:32" x14ac:dyDescent="0.3">
      <c r="B14" s="4">
        <v>10</v>
      </c>
      <c r="C14" s="43" t="s">
        <v>637</v>
      </c>
      <c r="D14" s="43" t="s">
        <v>278</v>
      </c>
      <c r="E14" s="43" t="s">
        <v>39</v>
      </c>
      <c r="F14" s="43" t="s">
        <v>55</v>
      </c>
      <c r="G14" s="134">
        <v>41367</v>
      </c>
      <c r="H14" s="43" t="s">
        <v>32</v>
      </c>
      <c r="I14" s="43" t="s">
        <v>612</v>
      </c>
      <c r="J14" s="142">
        <v>28.484573502722323</v>
      </c>
      <c r="K14" s="142" t="s">
        <v>612</v>
      </c>
      <c r="L14" s="142" t="s">
        <v>612</v>
      </c>
      <c r="M14" s="146">
        <v>0</v>
      </c>
      <c r="N14" s="143">
        <f t="shared" si="2"/>
        <v>0</v>
      </c>
      <c r="O14" s="43" t="s">
        <v>97</v>
      </c>
      <c r="P14" s="82">
        <v>18.5</v>
      </c>
      <c r="Q14" s="157">
        <v>0</v>
      </c>
      <c r="R14" s="145">
        <v>8.116874025974026E-2</v>
      </c>
      <c r="S14" s="145" t="s">
        <v>612</v>
      </c>
      <c r="T14" s="67">
        <f t="shared" si="0"/>
        <v>387.62303599999996</v>
      </c>
      <c r="U14" s="82">
        <v>0</v>
      </c>
      <c r="V14" s="82">
        <v>387.62303599999996</v>
      </c>
      <c r="W14" s="82">
        <f t="shared" si="1"/>
        <v>20.952596540540537</v>
      </c>
      <c r="X14" s="145">
        <v>0.37970463378906261</v>
      </c>
      <c r="Y14" s="43" t="s">
        <v>656</v>
      </c>
      <c r="Z14" s="50">
        <f t="shared" si="3"/>
        <v>20.952596540540537</v>
      </c>
      <c r="AA14" s="43" t="s">
        <v>280</v>
      </c>
      <c r="AB14" s="43" t="s">
        <v>863</v>
      </c>
      <c r="AC14" s="43" t="s">
        <v>281</v>
      </c>
      <c r="AD14" s="43" t="s">
        <v>36</v>
      </c>
      <c r="AE14" s="43" t="s">
        <v>36</v>
      </c>
      <c r="AF14" s="43" t="s">
        <v>461</v>
      </c>
    </row>
    <row r="15" spans="2:32" x14ac:dyDescent="0.3">
      <c r="B15" s="4">
        <v>11</v>
      </c>
      <c r="C15" s="43" t="s">
        <v>698</v>
      </c>
      <c r="D15" s="43" t="s">
        <v>699</v>
      </c>
      <c r="E15" s="43" t="s">
        <v>30</v>
      </c>
      <c r="F15" s="43" t="s">
        <v>55</v>
      </c>
      <c r="G15" s="134">
        <v>41477</v>
      </c>
      <c r="H15" s="43" t="s">
        <v>32</v>
      </c>
      <c r="I15" s="43" t="s">
        <v>612</v>
      </c>
      <c r="J15" s="142">
        <v>122.28</v>
      </c>
      <c r="K15" s="142">
        <v>361.83929762169367</v>
      </c>
      <c r="L15" s="142">
        <f>K15</f>
        <v>361.83929762169367</v>
      </c>
      <c r="M15" s="144">
        <v>1</v>
      </c>
      <c r="N15" s="143">
        <f>L15*(1-M15)</f>
        <v>0</v>
      </c>
      <c r="O15" s="43" t="s">
        <v>650</v>
      </c>
      <c r="P15" s="82">
        <v>4.8</v>
      </c>
      <c r="Q15" s="157">
        <v>0</v>
      </c>
      <c r="R15" s="145">
        <v>0.11835759193867883</v>
      </c>
      <c r="S15" s="145">
        <v>1.6000000000000001E-3</v>
      </c>
      <c r="T15" s="67">
        <f t="shared" si="0"/>
        <v>0</v>
      </c>
      <c r="U15" s="82">
        <v>0</v>
      </c>
      <c r="V15" s="82">
        <v>0</v>
      </c>
      <c r="W15" s="82">
        <f t="shared" si="1"/>
        <v>0</v>
      </c>
      <c r="X15" s="145" t="s">
        <v>49</v>
      </c>
      <c r="Z15" s="50"/>
      <c r="AA15" s="43" t="s">
        <v>827</v>
      </c>
      <c r="AB15" s="43" t="s">
        <v>864</v>
      </c>
      <c r="AC15" s="43" t="s">
        <v>438</v>
      </c>
      <c r="AD15" s="43" t="s">
        <v>69</v>
      </c>
      <c r="AE15" s="43" t="s">
        <v>69</v>
      </c>
      <c r="AF15" s="43" t="s">
        <v>552</v>
      </c>
    </row>
    <row r="16" spans="2:32" x14ac:dyDescent="0.3">
      <c r="B16" s="4">
        <v>12</v>
      </c>
      <c r="C16" s="43" t="s">
        <v>700</v>
      </c>
      <c r="D16" s="43" t="s">
        <v>701</v>
      </c>
      <c r="E16" s="43" t="s">
        <v>39</v>
      </c>
      <c r="F16" s="43" t="s">
        <v>648</v>
      </c>
      <c r="G16" s="134">
        <v>40636</v>
      </c>
      <c r="H16" s="43" t="s">
        <v>32</v>
      </c>
      <c r="I16" s="43" t="s">
        <v>612</v>
      </c>
      <c r="J16" s="142">
        <v>112.279793</v>
      </c>
      <c r="K16" s="142" t="s">
        <v>612</v>
      </c>
      <c r="L16" s="142" t="s">
        <v>612</v>
      </c>
      <c r="M16" s="146">
        <v>0</v>
      </c>
      <c r="N16" s="143">
        <f t="shared" si="2"/>
        <v>0</v>
      </c>
      <c r="O16" s="43" t="s">
        <v>97</v>
      </c>
      <c r="P16" s="82">
        <v>34</v>
      </c>
      <c r="Q16" s="157">
        <v>0</v>
      </c>
      <c r="R16" s="145">
        <v>8.9108357584842909E-2</v>
      </c>
      <c r="S16" s="145" t="s">
        <v>612</v>
      </c>
      <c r="T16" s="67">
        <f t="shared" si="0"/>
        <v>210.26102500000002</v>
      </c>
      <c r="U16" s="82">
        <v>0</v>
      </c>
      <c r="V16" s="82">
        <v>210.26102500000002</v>
      </c>
      <c r="W16" s="82">
        <f t="shared" si="1"/>
        <v>6.1841477941176475</v>
      </c>
      <c r="X16" s="145">
        <v>0.34323018066406252</v>
      </c>
      <c r="Y16" s="43" t="s">
        <v>818</v>
      </c>
      <c r="Z16" s="50">
        <f t="shared" si="3"/>
        <v>6.1841477941176475</v>
      </c>
      <c r="AA16" s="43" t="s">
        <v>828</v>
      </c>
      <c r="AB16" s="43" t="s">
        <v>865</v>
      </c>
      <c r="AC16" s="43" t="s">
        <v>890</v>
      </c>
      <c r="AD16" s="43" t="s">
        <v>69</v>
      </c>
      <c r="AE16" s="43" t="s">
        <v>36</v>
      </c>
      <c r="AF16" s="43" t="s">
        <v>461</v>
      </c>
    </row>
    <row r="17" spans="2:32" x14ac:dyDescent="0.3">
      <c r="B17" s="4">
        <v>13</v>
      </c>
      <c r="C17" s="43" t="s">
        <v>627</v>
      </c>
      <c r="D17" s="43" t="s">
        <v>702</v>
      </c>
      <c r="E17" s="43" t="s">
        <v>30</v>
      </c>
      <c r="F17" s="43" t="s">
        <v>127</v>
      </c>
      <c r="G17" s="134">
        <v>40659</v>
      </c>
      <c r="H17" s="43" t="s">
        <v>32</v>
      </c>
      <c r="I17" s="43" t="s">
        <v>612</v>
      </c>
      <c r="J17" s="142">
        <v>122.28</v>
      </c>
      <c r="K17" s="142" t="s">
        <v>612</v>
      </c>
      <c r="L17" s="142" t="s">
        <v>612</v>
      </c>
      <c r="M17" s="146">
        <v>0</v>
      </c>
      <c r="N17" s="143">
        <f t="shared" si="2"/>
        <v>0</v>
      </c>
      <c r="O17" s="43" t="s">
        <v>97</v>
      </c>
      <c r="P17" s="82">
        <v>15.5</v>
      </c>
      <c r="Q17" s="157">
        <v>0</v>
      </c>
      <c r="R17" s="145">
        <v>2.4500000000000001E-2</v>
      </c>
      <c r="S17" s="145" t="s">
        <v>612</v>
      </c>
      <c r="T17" s="67">
        <f t="shared" si="0"/>
        <v>80.3</v>
      </c>
      <c r="U17" s="82">
        <v>0</v>
      </c>
      <c r="V17" s="82">
        <v>80.3</v>
      </c>
      <c r="W17" s="82">
        <f t="shared" si="1"/>
        <v>5.1806451612903226</v>
      </c>
      <c r="X17" s="145">
        <v>0.61345489257812513</v>
      </c>
      <c r="Y17" s="43" t="s">
        <v>652</v>
      </c>
      <c r="Z17" s="50">
        <f t="shared" si="3"/>
        <v>5.1806451612903226</v>
      </c>
      <c r="AA17" s="43" t="s">
        <v>659</v>
      </c>
      <c r="AB17" s="43" t="s">
        <v>679</v>
      </c>
      <c r="AC17" s="43" t="s">
        <v>274</v>
      </c>
      <c r="AD17" s="43" t="s">
        <v>36</v>
      </c>
      <c r="AE17" s="43" t="s">
        <v>36</v>
      </c>
      <c r="AF17" s="43" t="s">
        <v>461</v>
      </c>
    </row>
    <row r="18" spans="2:32" x14ac:dyDescent="0.3">
      <c r="B18" s="18">
        <v>14</v>
      </c>
      <c r="C18" s="43" t="s">
        <v>433</v>
      </c>
      <c r="D18" s="43" t="s">
        <v>434</v>
      </c>
      <c r="E18" s="43" t="s">
        <v>81</v>
      </c>
      <c r="F18" s="43" t="s">
        <v>127</v>
      </c>
      <c r="G18" s="134">
        <v>41257</v>
      </c>
      <c r="H18" s="43" t="s">
        <v>32</v>
      </c>
      <c r="I18" s="43" t="s">
        <v>612</v>
      </c>
      <c r="J18" s="142">
        <v>166.66800000000023</v>
      </c>
      <c r="K18" s="142" t="s">
        <v>612</v>
      </c>
      <c r="L18" s="142" t="s">
        <v>612</v>
      </c>
      <c r="M18" s="146">
        <v>0</v>
      </c>
      <c r="N18" s="143">
        <f t="shared" si="2"/>
        <v>0</v>
      </c>
      <c r="O18" s="43" t="s">
        <v>97</v>
      </c>
      <c r="P18" s="82">
        <v>21.292777000000001</v>
      </c>
      <c r="Q18" s="157">
        <v>0</v>
      </c>
      <c r="R18" s="145">
        <v>6.0499999999999998E-2</v>
      </c>
      <c r="S18" s="145" t="s">
        <v>612</v>
      </c>
      <c r="T18" s="67">
        <f t="shared" si="0"/>
        <v>82.680532999999997</v>
      </c>
      <c r="U18" s="82">
        <v>0</v>
      </c>
      <c r="V18" s="82">
        <v>82.680532999999997</v>
      </c>
      <c r="W18" s="82">
        <f t="shared" si="1"/>
        <v>3.8830319314385342</v>
      </c>
      <c r="X18" s="145">
        <v>0.20506151855468752</v>
      </c>
      <c r="Y18" s="43" t="s">
        <v>651</v>
      </c>
      <c r="Z18" s="50">
        <f t="shared" si="3"/>
        <v>3.8830319314385342</v>
      </c>
      <c r="AA18" s="43" t="s">
        <v>436</v>
      </c>
      <c r="AB18" s="43" t="s">
        <v>866</v>
      </c>
      <c r="AC18" s="43" t="s">
        <v>438</v>
      </c>
      <c r="AD18" s="43" t="s">
        <v>36</v>
      </c>
      <c r="AE18" s="43" t="s">
        <v>36</v>
      </c>
      <c r="AF18" s="43" t="s">
        <v>461</v>
      </c>
    </row>
    <row r="19" spans="2:32" x14ac:dyDescent="0.3">
      <c r="B19" s="4">
        <v>15</v>
      </c>
      <c r="C19" s="43" t="s">
        <v>703</v>
      </c>
      <c r="D19" s="43" t="s">
        <v>704</v>
      </c>
      <c r="E19" s="43" t="s">
        <v>30</v>
      </c>
      <c r="F19" s="43" t="s">
        <v>909</v>
      </c>
      <c r="G19" s="134">
        <v>40746</v>
      </c>
      <c r="H19" s="43" t="s">
        <v>32</v>
      </c>
      <c r="I19" s="43" t="s">
        <v>612</v>
      </c>
      <c r="J19" s="142">
        <v>47.300000000000004</v>
      </c>
      <c r="K19" s="142" t="s">
        <v>612</v>
      </c>
      <c r="L19" s="142" t="s">
        <v>612</v>
      </c>
      <c r="M19" s="146">
        <v>0</v>
      </c>
      <c r="N19" s="143">
        <f t="shared" si="2"/>
        <v>0</v>
      </c>
      <c r="O19" s="43" t="s">
        <v>568</v>
      </c>
      <c r="P19" s="82">
        <v>11</v>
      </c>
      <c r="Q19" s="157">
        <v>0</v>
      </c>
      <c r="R19" s="145">
        <v>0.1267505285412262</v>
      </c>
      <c r="S19" s="145" t="s">
        <v>612</v>
      </c>
      <c r="T19" s="67">
        <f t="shared" si="0"/>
        <v>1.7699999999999999E-3</v>
      </c>
      <c r="U19" s="82">
        <v>0</v>
      </c>
      <c r="V19" s="82">
        <v>1.7699999999999999E-3</v>
      </c>
      <c r="W19" s="82">
        <f t="shared" si="1"/>
        <v>1.609090909090909E-4</v>
      </c>
      <c r="X19" s="145" t="s">
        <v>49</v>
      </c>
      <c r="Z19" s="50"/>
      <c r="AC19" s="43" t="s">
        <v>891</v>
      </c>
      <c r="AD19" s="43" t="s">
        <v>36</v>
      </c>
      <c r="AE19" s="43" t="s">
        <v>36</v>
      </c>
      <c r="AF19" s="43" t="s">
        <v>568</v>
      </c>
    </row>
    <row r="20" spans="2:32" x14ac:dyDescent="0.3">
      <c r="C20" s="43" t="s">
        <v>705</v>
      </c>
      <c r="D20" s="43" t="s">
        <v>706</v>
      </c>
      <c r="E20" s="43" t="s">
        <v>30</v>
      </c>
      <c r="F20" s="43" t="s">
        <v>55</v>
      </c>
      <c r="G20" s="134">
        <v>41485</v>
      </c>
      <c r="H20" s="43" t="s">
        <v>32</v>
      </c>
      <c r="I20" s="43" t="s">
        <v>612</v>
      </c>
      <c r="J20" s="142" t="s">
        <v>612</v>
      </c>
      <c r="K20" s="142" t="s">
        <v>612</v>
      </c>
      <c r="L20" s="142" t="s">
        <v>612</v>
      </c>
      <c r="M20" s="146">
        <v>0</v>
      </c>
      <c r="N20" s="143">
        <f t="shared" si="2"/>
        <v>0</v>
      </c>
      <c r="O20" s="43" t="s">
        <v>650</v>
      </c>
      <c r="P20" s="82">
        <v>5</v>
      </c>
      <c r="Q20" s="157">
        <v>0</v>
      </c>
      <c r="R20" s="145">
        <v>7.080070594239056E-2</v>
      </c>
      <c r="S20" s="145" t="s">
        <v>612</v>
      </c>
      <c r="T20" s="67">
        <f t="shared" si="0"/>
        <v>0</v>
      </c>
      <c r="U20" s="82">
        <v>0</v>
      </c>
      <c r="V20" s="82">
        <v>0</v>
      </c>
      <c r="W20" s="82">
        <f t="shared" si="1"/>
        <v>0</v>
      </c>
      <c r="X20" s="145" t="s">
        <v>49</v>
      </c>
      <c r="Z20" s="50"/>
      <c r="AA20" s="43" t="s">
        <v>829</v>
      </c>
      <c r="AB20" s="43" t="s">
        <v>867</v>
      </c>
      <c r="AC20" s="43" t="s">
        <v>892</v>
      </c>
      <c r="AD20" s="43" t="s">
        <v>36</v>
      </c>
      <c r="AE20" s="43" t="s">
        <v>60</v>
      </c>
      <c r="AF20" s="43" t="s">
        <v>552</v>
      </c>
    </row>
    <row r="21" spans="2:32" x14ac:dyDescent="0.3">
      <c r="B21" s="4">
        <v>16</v>
      </c>
      <c r="C21" s="43" t="s">
        <v>629</v>
      </c>
      <c r="D21" s="43" t="s">
        <v>630</v>
      </c>
      <c r="E21" s="43" t="s">
        <v>30</v>
      </c>
      <c r="F21" s="43" t="s">
        <v>648</v>
      </c>
      <c r="G21" s="134">
        <v>41607</v>
      </c>
      <c r="H21" s="43" t="s">
        <v>32</v>
      </c>
      <c r="I21" s="43" t="s">
        <v>41</v>
      </c>
      <c r="J21" s="142">
        <v>319.99752862355911</v>
      </c>
      <c r="K21" s="142" t="s">
        <v>612</v>
      </c>
      <c r="L21" s="142" t="s">
        <v>612</v>
      </c>
      <c r="M21" s="146">
        <v>0</v>
      </c>
      <c r="N21" s="143">
        <v>0</v>
      </c>
      <c r="O21" s="43" t="s">
        <v>97</v>
      </c>
      <c r="P21" s="82">
        <v>21.000681999999998</v>
      </c>
      <c r="Q21" s="157">
        <v>0</v>
      </c>
      <c r="R21" s="145">
        <v>4.9903461857780003E-2</v>
      </c>
      <c r="S21" s="145">
        <v>2.6281569502746703E-2</v>
      </c>
      <c r="T21" s="67">
        <f t="shared" si="0"/>
        <v>189.86190100000002</v>
      </c>
      <c r="U21" s="82">
        <v>0</v>
      </c>
      <c r="V21" s="67">
        <v>189.86190100000002</v>
      </c>
      <c r="W21" s="67">
        <f t="shared" si="1"/>
        <v>9.0407492956657336</v>
      </c>
      <c r="X21" s="145">
        <v>0.24203197753906253</v>
      </c>
      <c r="Y21" s="43" t="s">
        <v>956</v>
      </c>
      <c r="Z21" s="50">
        <f t="shared" si="3"/>
        <v>9.0407492956657336</v>
      </c>
      <c r="AA21" s="43" t="s">
        <v>660</v>
      </c>
      <c r="AB21" s="43" t="s">
        <v>920</v>
      </c>
      <c r="AC21" s="43" t="s">
        <v>672</v>
      </c>
      <c r="AD21" s="43" t="s">
        <v>36</v>
      </c>
      <c r="AE21" s="43" t="s">
        <v>36</v>
      </c>
      <c r="AF21" s="43" t="s">
        <v>461</v>
      </c>
    </row>
    <row r="22" spans="2:32" x14ac:dyDescent="0.3">
      <c r="B22" s="4">
        <v>17</v>
      </c>
      <c r="C22" s="43" t="s">
        <v>707</v>
      </c>
      <c r="D22" s="43" t="s">
        <v>708</v>
      </c>
      <c r="E22" s="43" t="s">
        <v>30</v>
      </c>
      <c r="F22" s="43" t="s">
        <v>293</v>
      </c>
      <c r="G22" s="134">
        <v>40627</v>
      </c>
      <c r="H22" s="43" t="s">
        <v>32</v>
      </c>
      <c r="I22" s="43" t="s">
        <v>612</v>
      </c>
      <c r="J22" s="142">
        <v>90</v>
      </c>
      <c r="K22" s="142" t="s">
        <v>612</v>
      </c>
      <c r="L22" s="142" t="s">
        <v>612</v>
      </c>
      <c r="M22" s="146">
        <v>0</v>
      </c>
      <c r="N22" s="143">
        <f t="shared" si="2"/>
        <v>0</v>
      </c>
      <c r="O22" s="43" t="s">
        <v>97</v>
      </c>
      <c r="P22" s="82">
        <v>45</v>
      </c>
      <c r="Q22" s="157">
        <v>0</v>
      </c>
      <c r="R22" s="145">
        <v>5.5555575777777783E-2</v>
      </c>
      <c r="S22" s="145" t="s">
        <v>612</v>
      </c>
      <c r="T22" s="67">
        <f t="shared" si="0"/>
        <v>97.239294000000001</v>
      </c>
      <c r="U22" s="82">
        <v>0</v>
      </c>
      <c r="V22" s="82">
        <v>97.239294000000001</v>
      </c>
      <c r="W22" s="82">
        <f t="shared" si="1"/>
        <v>2.1608732000000002</v>
      </c>
      <c r="X22" s="145">
        <v>0.28793275952339181</v>
      </c>
      <c r="Y22" s="43" t="s">
        <v>819</v>
      </c>
      <c r="Z22" s="50">
        <f t="shared" si="3"/>
        <v>2.1608732000000002</v>
      </c>
      <c r="AA22" s="43" t="s">
        <v>830</v>
      </c>
      <c r="AC22" s="43" t="s">
        <v>893</v>
      </c>
      <c r="AD22" s="43" t="s">
        <v>36</v>
      </c>
      <c r="AE22" s="43" t="s">
        <v>36</v>
      </c>
      <c r="AF22" s="43" t="s">
        <v>461</v>
      </c>
    </row>
    <row r="23" spans="2:32" x14ac:dyDescent="0.3">
      <c r="B23" s="4">
        <v>18</v>
      </c>
      <c r="C23" s="43" t="s">
        <v>709</v>
      </c>
      <c r="D23" s="43" t="s">
        <v>710</v>
      </c>
      <c r="E23" s="43" t="s">
        <v>30</v>
      </c>
      <c r="F23" s="43" t="s">
        <v>711</v>
      </c>
      <c r="G23" s="134">
        <v>41433</v>
      </c>
      <c r="H23" s="43" t="s">
        <v>32</v>
      </c>
      <c r="I23" s="43" t="s">
        <v>612</v>
      </c>
      <c r="J23" s="142">
        <v>30</v>
      </c>
      <c r="K23" s="142" t="s">
        <v>612</v>
      </c>
      <c r="L23" s="142" t="s">
        <v>612</v>
      </c>
      <c r="M23" s="146">
        <v>0</v>
      </c>
      <c r="N23" s="143">
        <f t="shared" si="2"/>
        <v>0</v>
      </c>
      <c r="O23" s="43" t="s">
        <v>97</v>
      </c>
      <c r="P23" s="82">
        <v>4.8</v>
      </c>
      <c r="Q23" s="157">
        <v>0</v>
      </c>
      <c r="R23" s="145">
        <v>0.14250239101382761</v>
      </c>
      <c r="S23" s="145" t="s">
        <v>612</v>
      </c>
      <c r="T23" s="67">
        <f t="shared" si="0"/>
        <v>7.9</v>
      </c>
      <c r="U23" s="82">
        <v>0</v>
      </c>
      <c r="V23" s="82">
        <v>7.9</v>
      </c>
      <c r="W23" s="82">
        <f t="shared" si="1"/>
        <v>1.6458333333333335</v>
      </c>
      <c r="X23" s="145">
        <v>0.38133906738281265</v>
      </c>
      <c r="Y23" s="43" t="s">
        <v>820</v>
      </c>
      <c r="Z23" s="50">
        <f t="shared" si="3"/>
        <v>1.6458333333333335</v>
      </c>
      <c r="AA23" s="43" t="s">
        <v>831</v>
      </c>
      <c r="AC23" s="43" t="s">
        <v>274</v>
      </c>
      <c r="AD23" s="43" t="s">
        <v>36</v>
      </c>
      <c r="AE23" s="43" t="s">
        <v>60</v>
      </c>
      <c r="AF23" s="43" t="s">
        <v>461</v>
      </c>
    </row>
    <row r="24" spans="2:32" x14ac:dyDescent="0.3">
      <c r="B24" s="4">
        <v>19</v>
      </c>
      <c r="C24" s="43" t="s">
        <v>635</v>
      </c>
      <c r="D24" s="43" t="s">
        <v>636</v>
      </c>
      <c r="E24" s="43" t="s">
        <v>39</v>
      </c>
      <c r="F24" s="43" t="s">
        <v>127</v>
      </c>
      <c r="G24" s="134">
        <v>41631</v>
      </c>
      <c r="H24" s="43" t="s">
        <v>32</v>
      </c>
      <c r="I24" s="43" t="s">
        <v>612</v>
      </c>
      <c r="J24" s="142">
        <v>52</v>
      </c>
      <c r="K24" s="142" t="s">
        <v>612</v>
      </c>
      <c r="L24" s="142" t="s">
        <v>612</v>
      </c>
      <c r="M24" s="146">
        <v>0</v>
      </c>
      <c r="N24" s="143">
        <f t="shared" si="2"/>
        <v>0</v>
      </c>
      <c r="O24" s="43" t="s">
        <v>97</v>
      </c>
      <c r="P24" s="82">
        <v>13.891466000000001</v>
      </c>
      <c r="Q24" s="157">
        <v>0</v>
      </c>
      <c r="R24" s="145">
        <v>0.1</v>
      </c>
      <c r="S24" s="145" t="s">
        <v>612</v>
      </c>
      <c r="T24" s="67">
        <f t="shared" si="0"/>
        <v>20.700262000000002</v>
      </c>
      <c r="U24" s="82">
        <v>0</v>
      </c>
      <c r="V24" s="82">
        <v>20.700262000000002</v>
      </c>
      <c r="W24" s="82">
        <f t="shared" si="1"/>
        <v>1.4901423651038703</v>
      </c>
      <c r="X24" s="145">
        <v>0.10671253417968754</v>
      </c>
      <c r="Y24" s="43" t="s">
        <v>655</v>
      </c>
      <c r="Z24" s="50">
        <f t="shared" si="3"/>
        <v>1.4901423651038703</v>
      </c>
      <c r="AA24" s="43" t="s">
        <v>663</v>
      </c>
      <c r="AB24" s="43" t="s">
        <v>868</v>
      </c>
      <c r="AC24" s="43" t="s">
        <v>274</v>
      </c>
      <c r="AD24" s="43" t="s">
        <v>36</v>
      </c>
      <c r="AE24" s="43" t="s">
        <v>60</v>
      </c>
      <c r="AF24" s="43" t="s">
        <v>461</v>
      </c>
    </row>
    <row r="25" spans="2:32" x14ac:dyDescent="0.3">
      <c r="B25" s="4">
        <v>20</v>
      </c>
      <c r="C25" s="43" t="s">
        <v>712</v>
      </c>
      <c r="D25" s="43" t="s">
        <v>713</v>
      </c>
      <c r="E25" s="43" t="s">
        <v>81</v>
      </c>
      <c r="F25" s="43" t="s">
        <v>714</v>
      </c>
      <c r="G25" s="134">
        <v>41096</v>
      </c>
      <c r="H25" s="43" t="s">
        <v>32</v>
      </c>
      <c r="I25" s="43" t="s">
        <v>612</v>
      </c>
      <c r="J25" s="142">
        <v>89.967359999999999</v>
      </c>
      <c r="K25" s="142" t="s">
        <v>612</v>
      </c>
      <c r="L25" s="142" t="s">
        <v>612</v>
      </c>
      <c r="M25" s="146">
        <v>0</v>
      </c>
      <c r="N25" s="143">
        <f t="shared" si="2"/>
        <v>0</v>
      </c>
      <c r="O25" s="43" t="s">
        <v>97</v>
      </c>
      <c r="P25" s="82">
        <v>19</v>
      </c>
      <c r="Q25" s="157">
        <v>0</v>
      </c>
      <c r="R25" s="145">
        <v>0.11115142202683284</v>
      </c>
      <c r="S25" s="145" t="s">
        <v>612</v>
      </c>
      <c r="T25" s="67">
        <f t="shared" si="0"/>
        <v>28.5</v>
      </c>
      <c r="U25" s="82">
        <v>0</v>
      </c>
      <c r="V25" s="82">
        <v>28.5</v>
      </c>
      <c r="W25" s="82">
        <f t="shared" si="1"/>
        <v>1.5</v>
      </c>
      <c r="X25" s="145">
        <v>4.6158483624458319E-2</v>
      </c>
      <c r="Y25" s="43" t="s">
        <v>821</v>
      </c>
      <c r="Z25" s="50">
        <f t="shared" si="3"/>
        <v>1.5</v>
      </c>
      <c r="AA25" s="43" t="s">
        <v>832</v>
      </c>
      <c r="AC25" s="43" t="s">
        <v>73</v>
      </c>
      <c r="AD25" s="43" t="s">
        <v>36</v>
      </c>
      <c r="AE25" s="43" t="s">
        <v>60</v>
      </c>
      <c r="AF25" s="43" t="s">
        <v>461</v>
      </c>
    </row>
    <row r="26" spans="2:32" x14ac:dyDescent="0.3">
      <c r="B26" s="4">
        <v>21</v>
      </c>
      <c r="C26" s="43" t="s">
        <v>715</v>
      </c>
      <c r="D26" s="43" t="s">
        <v>716</v>
      </c>
      <c r="E26" s="43" t="s">
        <v>81</v>
      </c>
      <c r="F26" s="43" t="s">
        <v>55</v>
      </c>
      <c r="G26" s="134">
        <v>41458</v>
      </c>
      <c r="H26" s="43" t="s">
        <v>32</v>
      </c>
      <c r="I26" s="43" t="s">
        <v>612</v>
      </c>
      <c r="J26" s="142">
        <v>63.25</v>
      </c>
      <c r="K26" s="142" t="s">
        <v>612</v>
      </c>
      <c r="L26" s="142" t="s">
        <v>612</v>
      </c>
      <c r="M26" s="146">
        <v>0</v>
      </c>
      <c r="N26" s="143">
        <f t="shared" si="2"/>
        <v>0</v>
      </c>
      <c r="O26" s="43" t="s">
        <v>97</v>
      </c>
      <c r="P26" s="82">
        <v>3.5</v>
      </c>
      <c r="Q26" s="157">
        <v>0</v>
      </c>
      <c r="R26" s="145">
        <v>5.5335966498023713E-2</v>
      </c>
      <c r="S26" s="145" t="s">
        <v>612</v>
      </c>
      <c r="T26" s="67">
        <f t="shared" si="0"/>
        <v>5.0999999999999996</v>
      </c>
      <c r="U26" s="82">
        <v>0</v>
      </c>
      <c r="V26" s="82">
        <v>5.0999999999999996</v>
      </c>
      <c r="W26" s="82">
        <f t="shared" si="1"/>
        <v>1.4571428571428571</v>
      </c>
      <c r="X26" s="145">
        <v>0.60094961914062495</v>
      </c>
      <c r="Y26" s="43" t="s">
        <v>822</v>
      </c>
      <c r="Z26" s="50">
        <f t="shared" si="3"/>
        <v>1.4571428571428571</v>
      </c>
      <c r="AB26" s="43" t="s">
        <v>869</v>
      </c>
      <c r="AC26" s="43" t="s">
        <v>274</v>
      </c>
      <c r="AD26" s="43" t="s">
        <v>36</v>
      </c>
      <c r="AE26" s="43" t="s">
        <v>52</v>
      </c>
      <c r="AF26" s="43" t="s">
        <v>461</v>
      </c>
    </row>
    <row r="27" spans="2:32" x14ac:dyDescent="0.3">
      <c r="B27" s="4">
        <v>22</v>
      </c>
      <c r="C27" s="43" t="s">
        <v>631</v>
      </c>
      <c r="D27" s="43" t="s">
        <v>632</v>
      </c>
      <c r="E27" s="43" t="s">
        <v>348</v>
      </c>
      <c r="F27" s="43" t="s">
        <v>127</v>
      </c>
      <c r="G27" s="134">
        <v>41439</v>
      </c>
      <c r="H27" s="43" t="s">
        <v>32</v>
      </c>
      <c r="I27" s="43" t="s">
        <v>612</v>
      </c>
      <c r="J27" s="142">
        <v>99.222222000000002</v>
      </c>
      <c r="K27" s="142" t="s">
        <v>612</v>
      </c>
      <c r="L27" s="142" t="s">
        <v>612</v>
      </c>
      <c r="M27" s="146">
        <v>0</v>
      </c>
      <c r="N27" s="143">
        <f t="shared" si="2"/>
        <v>0</v>
      </c>
      <c r="O27" s="43" t="s">
        <v>97</v>
      </c>
      <c r="P27" s="82">
        <v>13.48784</v>
      </c>
      <c r="Q27" s="157">
        <v>0</v>
      </c>
      <c r="R27" s="145">
        <v>5.0400000112877937E-2</v>
      </c>
      <c r="S27" s="145" t="s">
        <v>612</v>
      </c>
      <c r="T27" s="67">
        <f t="shared" si="0"/>
        <v>17.265207</v>
      </c>
      <c r="U27" s="82">
        <v>0</v>
      </c>
      <c r="V27" s="82">
        <v>17.265207</v>
      </c>
      <c r="W27" s="82">
        <f t="shared" si="1"/>
        <v>1.2800572219124782</v>
      </c>
      <c r="X27" s="145">
        <v>4.7209262695312518E-2</v>
      </c>
      <c r="Y27" s="43" t="s">
        <v>653</v>
      </c>
      <c r="Z27" s="50">
        <f t="shared" si="3"/>
        <v>1.2800572219124782</v>
      </c>
      <c r="AA27" s="43" t="s">
        <v>661</v>
      </c>
      <c r="AB27" s="43" t="s">
        <v>681</v>
      </c>
      <c r="AC27" s="43" t="s">
        <v>274</v>
      </c>
      <c r="AD27" s="43" t="s">
        <v>36</v>
      </c>
      <c r="AE27" s="43" t="s">
        <v>60</v>
      </c>
      <c r="AF27" s="43" t="s">
        <v>461</v>
      </c>
    </row>
    <row r="28" spans="2:32" x14ac:dyDescent="0.3">
      <c r="B28" s="4">
        <v>23</v>
      </c>
      <c r="C28" s="43" t="s">
        <v>717</v>
      </c>
      <c r="D28" s="43" t="s">
        <v>718</v>
      </c>
      <c r="E28" s="43" t="s">
        <v>30</v>
      </c>
      <c r="F28" s="43" t="s">
        <v>711</v>
      </c>
      <c r="G28" s="134">
        <v>41082</v>
      </c>
      <c r="H28" s="43" t="s">
        <v>32</v>
      </c>
      <c r="I28" s="43" t="s">
        <v>612</v>
      </c>
      <c r="J28" s="142">
        <v>30.55</v>
      </c>
      <c r="K28" s="142" t="s">
        <v>612</v>
      </c>
      <c r="L28" s="142" t="s">
        <v>612</v>
      </c>
      <c r="M28" s="146">
        <v>0</v>
      </c>
      <c r="N28" s="143">
        <f t="shared" si="2"/>
        <v>0</v>
      </c>
      <c r="O28" s="43" t="s">
        <v>97</v>
      </c>
      <c r="P28" s="82">
        <v>4.04</v>
      </c>
      <c r="Q28" s="157">
        <v>0</v>
      </c>
      <c r="R28" s="145">
        <v>0.1487</v>
      </c>
      <c r="S28" s="145" t="s">
        <v>612</v>
      </c>
      <c r="T28" s="67">
        <f t="shared" si="0"/>
        <v>4</v>
      </c>
      <c r="U28" s="82">
        <v>0</v>
      </c>
      <c r="V28" s="82">
        <v>4</v>
      </c>
      <c r="W28" s="82">
        <f t="shared" si="1"/>
        <v>0.99009900990099009</v>
      </c>
      <c r="X28" s="145">
        <v>-2.6144622385129331E-3</v>
      </c>
      <c r="Y28" s="43" t="s">
        <v>820</v>
      </c>
      <c r="Z28" s="50">
        <f t="shared" si="3"/>
        <v>0.99009900990099009</v>
      </c>
      <c r="AA28" s="43" t="s">
        <v>833</v>
      </c>
      <c r="AC28" s="43" t="s">
        <v>894</v>
      </c>
      <c r="AD28" s="43" t="s">
        <v>69</v>
      </c>
      <c r="AE28" s="43" t="s">
        <v>69</v>
      </c>
      <c r="AF28" s="43" t="s">
        <v>461</v>
      </c>
    </row>
    <row r="29" spans="2:32" x14ac:dyDescent="0.3">
      <c r="B29" s="4">
        <v>24</v>
      </c>
      <c r="C29" s="43" t="s">
        <v>719</v>
      </c>
      <c r="D29" s="43" t="s">
        <v>720</v>
      </c>
      <c r="E29" s="43" t="s">
        <v>30</v>
      </c>
      <c r="F29" s="43" t="s">
        <v>271</v>
      </c>
      <c r="G29" s="134">
        <v>41162</v>
      </c>
      <c r="H29" s="43" t="s">
        <v>32</v>
      </c>
      <c r="I29" s="43" t="s">
        <v>497</v>
      </c>
      <c r="J29" s="142">
        <v>124.98675</v>
      </c>
      <c r="K29" s="142">
        <v>1063.8297872340427</v>
      </c>
      <c r="L29" s="142">
        <f>K29</f>
        <v>1063.8297872340427</v>
      </c>
      <c r="M29" s="144">
        <v>1</v>
      </c>
      <c r="N29" s="143">
        <f>L29*(1-M29)</f>
        <v>0</v>
      </c>
      <c r="O29" s="43" t="s">
        <v>650</v>
      </c>
      <c r="P29" s="82">
        <v>15</v>
      </c>
      <c r="Q29" s="157">
        <v>0</v>
      </c>
      <c r="R29" s="145">
        <v>6.0006360674231464E-2</v>
      </c>
      <c r="S29" s="145">
        <v>3.9199999999999999E-2</v>
      </c>
      <c r="T29" s="67">
        <f t="shared" si="0"/>
        <v>0</v>
      </c>
      <c r="U29" s="82">
        <v>0</v>
      </c>
      <c r="V29" s="82">
        <v>0</v>
      </c>
      <c r="W29" s="82">
        <f t="shared" si="1"/>
        <v>0</v>
      </c>
      <c r="X29" s="145" t="s">
        <v>49</v>
      </c>
      <c r="Z29" s="50"/>
      <c r="AA29" s="43" t="s">
        <v>834</v>
      </c>
      <c r="AB29" s="43" t="s">
        <v>870</v>
      </c>
      <c r="AC29" s="43" t="s">
        <v>895</v>
      </c>
      <c r="AD29" s="43" t="s">
        <v>36</v>
      </c>
      <c r="AE29" s="43" t="s">
        <v>36</v>
      </c>
      <c r="AF29" s="43" t="s">
        <v>552</v>
      </c>
    </row>
    <row r="30" spans="2:32" x14ac:dyDescent="0.3">
      <c r="B30" s="4">
        <v>25</v>
      </c>
      <c r="C30" s="43" t="s">
        <v>721</v>
      </c>
      <c r="D30" s="43" t="s">
        <v>722</v>
      </c>
      <c r="E30" s="43" t="s">
        <v>30</v>
      </c>
      <c r="F30" s="43" t="s">
        <v>40</v>
      </c>
      <c r="G30" s="134">
        <v>41004</v>
      </c>
      <c r="H30" s="43" t="s">
        <v>32</v>
      </c>
      <c r="I30" s="43" t="s">
        <v>66</v>
      </c>
      <c r="J30" s="142">
        <v>96.5</v>
      </c>
      <c r="K30" s="142">
        <v>1042.0632913675001</v>
      </c>
      <c r="L30" s="142">
        <f>K30</f>
        <v>1042.0632913675001</v>
      </c>
      <c r="M30" s="144">
        <v>1</v>
      </c>
      <c r="N30" s="143">
        <f>L30*(1-M30)</f>
        <v>0</v>
      </c>
      <c r="O30" s="43" t="s">
        <v>650</v>
      </c>
      <c r="P30" s="82">
        <v>13.862910680000001</v>
      </c>
      <c r="Q30" s="157">
        <v>0</v>
      </c>
      <c r="R30" s="145">
        <v>2.5890800956752214E-2</v>
      </c>
      <c r="S30" s="145">
        <v>1.5292785805073881E-2</v>
      </c>
      <c r="T30" s="67">
        <f t="shared" si="0"/>
        <v>0</v>
      </c>
      <c r="U30" s="82">
        <v>0</v>
      </c>
      <c r="V30" s="82">
        <v>0</v>
      </c>
      <c r="W30" s="82">
        <f t="shared" si="1"/>
        <v>0</v>
      </c>
      <c r="X30" s="145" t="s">
        <v>49</v>
      </c>
      <c r="Z30" s="50"/>
      <c r="AA30" s="43" t="s">
        <v>835</v>
      </c>
      <c r="AB30" s="43" t="s">
        <v>871</v>
      </c>
      <c r="AC30" s="43" t="s">
        <v>896</v>
      </c>
      <c r="AD30" s="43" t="s">
        <v>36</v>
      </c>
      <c r="AE30" s="43" t="s">
        <v>69</v>
      </c>
      <c r="AF30" s="43" t="s">
        <v>552</v>
      </c>
    </row>
    <row r="31" spans="2:32" x14ac:dyDescent="0.3">
      <c r="B31" s="4">
        <v>26</v>
      </c>
      <c r="C31" s="43" t="s">
        <v>723</v>
      </c>
      <c r="D31" s="43" t="s">
        <v>724</v>
      </c>
      <c r="E31" s="43" t="s">
        <v>30</v>
      </c>
      <c r="F31" s="43" t="s">
        <v>120</v>
      </c>
      <c r="G31" s="134">
        <v>40919</v>
      </c>
      <c r="H31" s="43" t="s">
        <v>32</v>
      </c>
      <c r="I31" s="43" t="s">
        <v>925</v>
      </c>
      <c r="J31" s="142">
        <v>109.129971</v>
      </c>
      <c r="K31" s="142">
        <v>8762</v>
      </c>
      <c r="L31" s="142">
        <f>K31</f>
        <v>8762</v>
      </c>
      <c r="M31" s="144">
        <v>1</v>
      </c>
      <c r="N31" s="143">
        <f>L31*(1-M31)</f>
        <v>0</v>
      </c>
      <c r="O31" s="43" t="s">
        <v>650</v>
      </c>
      <c r="P31" s="82">
        <v>23.686623999999998</v>
      </c>
      <c r="Q31" s="157">
        <v>0</v>
      </c>
      <c r="R31" s="145">
        <v>7.9264283869368943E-2</v>
      </c>
      <c r="S31" s="145">
        <v>7.7865742614326189E-2</v>
      </c>
      <c r="T31" s="67">
        <f t="shared" si="0"/>
        <v>0</v>
      </c>
      <c r="U31" s="82">
        <v>0</v>
      </c>
      <c r="V31" s="82">
        <v>0</v>
      </c>
      <c r="W31" s="82">
        <f t="shared" si="1"/>
        <v>0</v>
      </c>
      <c r="X31" s="145" t="s">
        <v>49</v>
      </c>
      <c r="Z31" s="50"/>
      <c r="AA31" s="43" t="s">
        <v>836</v>
      </c>
      <c r="AB31" s="43" t="s">
        <v>921</v>
      </c>
      <c r="AC31" s="43" t="s">
        <v>35</v>
      </c>
      <c r="AD31" s="43" t="s">
        <v>36</v>
      </c>
      <c r="AE31" s="43" t="s">
        <v>60</v>
      </c>
      <c r="AF31" s="43" t="s">
        <v>552</v>
      </c>
    </row>
    <row r="32" spans="2:32" x14ac:dyDescent="0.3">
      <c r="B32" s="4">
        <v>27</v>
      </c>
      <c r="C32" s="43" t="s">
        <v>725</v>
      </c>
      <c r="D32" s="43" t="s">
        <v>726</v>
      </c>
      <c r="E32" s="43" t="s">
        <v>30</v>
      </c>
      <c r="F32" s="43" t="s">
        <v>55</v>
      </c>
      <c r="G32" s="134">
        <v>40578</v>
      </c>
      <c r="H32" s="43" t="s">
        <v>32</v>
      </c>
      <c r="I32" s="43" t="s">
        <v>612</v>
      </c>
      <c r="J32" s="142">
        <v>165.3</v>
      </c>
      <c r="K32" s="142" t="s">
        <v>612</v>
      </c>
      <c r="L32" s="142" t="s">
        <v>612</v>
      </c>
      <c r="M32" s="146">
        <v>0</v>
      </c>
      <c r="N32" s="143">
        <f t="shared" si="2"/>
        <v>0</v>
      </c>
      <c r="O32" s="43" t="s">
        <v>97</v>
      </c>
      <c r="P32" s="82">
        <v>3.5999999999999996</v>
      </c>
      <c r="Q32" s="157">
        <v>0</v>
      </c>
      <c r="R32" s="145">
        <v>2.1778584392014518E-2</v>
      </c>
      <c r="S32" s="145" t="s">
        <v>612</v>
      </c>
      <c r="T32" s="67">
        <f t="shared" si="0"/>
        <v>3.5999999999999996</v>
      </c>
      <c r="U32" s="82">
        <v>0</v>
      </c>
      <c r="V32" s="82">
        <v>3.5999999999999996</v>
      </c>
      <c r="W32" s="82">
        <f t="shared" si="1"/>
        <v>1</v>
      </c>
      <c r="X32" s="145">
        <v>4.8828125000000004E-9</v>
      </c>
      <c r="Y32" s="43" t="s">
        <v>823</v>
      </c>
      <c r="Z32" s="50">
        <f t="shared" si="3"/>
        <v>1</v>
      </c>
      <c r="AC32" s="43" t="s">
        <v>73</v>
      </c>
      <c r="AD32" s="43" t="s">
        <v>36</v>
      </c>
      <c r="AE32" s="43" t="s">
        <v>36</v>
      </c>
      <c r="AF32" s="43" t="s">
        <v>461</v>
      </c>
    </row>
    <row r="33" spans="2:32" x14ac:dyDescent="0.3">
      <c r="B33" s="4">
        <v>28</v>
      </c>
      <c r="C33" s="43" t="s">
        <v>727</v>
      </c>
      <c r="D33" s="43" t="s">
        <v>728</v>
      </c>
      <c r="E33" s="43" t="s">
        <v>150</v>
      </c>
      <c r="F33" s="43" t="s">
        <v>911</v>
      </c>
      <c r="G33" s="134">
        <v>40636</v>
      </c>
      <c r="H33" s="43" t="s">
        <v>32</v>
      </c>
      <c r="I33" s="43" t="s">
        <v>612</v>
      </c>
      <c r="J33" s="142">
        <v>69.999600000000001</v>
      </c>
      <c r="K33" s="142" t="s">
        <v>612</v>
      </c>
      <c r="L33" s="142" t="s">
        <v>612</v>
      </c>
      <c r="M33" s="146">
        <v>0</v>
      </c>
      <c r="N33" s="143">
        <f t="shared" si="2"/>
        <v>0</v>
      </c>
      <c r="O33" s="43" t="s">
        <v>97</v>
      </c>
      <c r="P33" s="82">
        <v>10.625</v>
      </c>
      <c r="Q33" s="157">
        <v>0</v>
      </c>
      <c r="R33" s="145">
        <v>0.10714346939125366</v>
      </c>
      <c r="S33" s="145" t="s">
        <v>612</v>
      </c>
      <c r="T33" s="67">
        <f t="shared" si="0"/>
        <v>9.7393999999999998</v>
      </c>
      <c r="U33" s="82">
        <v>0</v>
      </c>
      <c r="V33" s="82">
        <v>9.7393999999999998</v>
      </c>
      <c r="W33" s="82">
        <f t="shared" si="1"/>
        <v>0.91664941176470582</v>
      </c>
      <c r="X33" s="145">
        <v>-9.8782679601199901E-3</v>
      </c>
      <c r="Y33" s="43" t="s">
        <v>824</v>
      </c>
      <c r="Z33" s="50">
        <f t="shared" si="3"/>
        <v>0.91664941176470582</v>
      </c>
      <c r="AC33" s="43" t="s">
        <v>157</v>
      </c>
      <c r="AD33" s="43" t="s">
        <v>36</v>
      </c>
      <c r="AE33" s="43" t="s">
        <v>36</v>
      </c>
      <c r="AF33" s="43" t="s">
        <v>461</v>
      </c>
    </row>
    <row r="34" spans="2:32" x14ac:dyDescent="0.3">
      <c r="B34" s="4">
        <v>29</v>
      </c>
      <c r="C34" s="43" t="s">
        <v>638</v>
      </c>
      <c r="D34" s="43" t="s">
        <v>639</v>
      </c>
      <c r="E34" s="43" t="s">
        <v>39</v>
      </c>
      <c r="F34" s="43" t="s">
        <v>40</v>
      </c>
      <c r="G34" s="134">
        <v>41358</v>
      </c>
      <c r="H34" s="43" t="s">
        <v>32</v>
      </c>
      <c r="I34" s="43" t="s">
        <v>612</v>
      </c>
      <c r="J34" s="142">
        <v>55.278399999999998</v>
      </c>
      <c r="K34" s="142" t="s">
        <v>612</v>
      </c>
      <c r="L34" s="142" t="s">
        <v>612</v>
      </c>
      <c r="M34" s="146">
        <v>0</v>
      </c>
      <c r="N34" s="143">
        <f t="shared" si="2"/>
        <v>0</v>
      </c>
      <c r="O34" s="43" t="s">
        <v>568</v>
      </c>
      <c r="P34" s="82">
        <v>7.5</v>
      </c>
      <c r="Q34" s="157">
        <v>0</v>
      </c>
      <c r="R34" s="145">
        <v>4.5269038177660717E-2</v>
      </c>
      <c r="S34" s="145" t="s">
        <v>612</v>
      </c>
      <c r="T34" s="67">
        <f t="shared" si="0"/>
        <v>2.7</v>
      </c>
      <c r="U34" s="82">
        <v>0</v>
      </c>
      <c r="V34" s="82">
        <v>2.7</v>
      </c>
      <c r="W34" s="82">
        <f t="shared" si="1"/>
        <v>0.36000000000000004</v>
      </c>
      <c r="X34" s="145" t="s">
        <v>49</v>
      </c>
      <c r="Z34" s="50">
        <f t="shared" si="3"/>
        <v>0.36000000000000004</v>
      </c>
      <c r="AA34" s="43" t="s">
        <v>664</v>
      </c>
      <c r="AB34" s="43" t="s">
        <v>684</v>
      </c>
      <c r="AC34" s="43" t="s">
        <v>274</v>
      </c>
      <c r="AD34" s="43" t="s">
        <v>69</v>
      </c>
      <c r="AE34" s="43" t="s">
        <v>36</v>
      </c>
      <c r="AF34" s="43" t="s">
        <v>568</v>
      </c>
    </row>
    <row r="35" spans="2:32" x14ac:dyDescent="0.3">
      <c r="B35" s="4">
        <v>30</v>
      </c>
      <c r="C35" s="43" t="s">
        <v>729</v>
      </c>
      <c r="D35" s="43" t="s">
        <v>730</v>
      </c>
      <c r="E35" s="43" t="s">
        <v>81</v>
      </c>
      <c r="F35" s="43" t="s">
        <v>647</v>
      </c>
      <c r="G35" s="134">
        <v>40785</v>
      </c>
      <c r="H35" s="43" t="s">
        <v>32</v>
      </c>
      <c r="I35" s="43" t="s">
        <v>612</v>
      </c>
      <c r="J35" s="142">
        <v>51.047856000000003</v>
      </c>
      <c r="K35" s="142" t="s">
        <v>612</v>
      </c>
      <c r="L35" s="142" t="s">
        <v>612</v>
      </c>
      <c r="M35" s="146">
        <v>0</v>
      </c>
      <c r="N35" s="143">
        <f t="shared" si="2"/>
        <v>0</v>
      </c>
      <c r="O35" s="43" t="s">
        <v>568</v>
      </c>
      <c r="P35" s="82">
        <v>10</v>
      </c>
      <c r="Q35" s="157">
        <v>0</v>
      </c>
      <c r="R35" s="145">
        <v>0.1959407843137255</v>
      </c>
      <c r="S35" s="145" t="s">
        <v>612</v>
      </c>
      <c r="T35" s="67">
        <f t="shared" si="0"/>
        <v>2.8000000000000003</v>
      </c>
      <c r="U35" s="82">
        <v>0</v>
      </c>
      <c r="V35" s="82">
        <v>2.8000000000000003</v>
      </c>
      <c r="W35" s="82">
        <f t="shared" si="1"/>
        <v>0.28000000000000003</v>
      </c>
      <c r="X35" s="145" t="s">
        <v>49</v>
      </c>
      <c r="Z35" s="50">
        <f t="shared" si="3"/>
        <v>0.28000000000000003</v>
      </c>
      <c r="AB35" s="43" t="s">
        <v>922</v>
      </c>
      <c r="AC35" s="43" t="s">
        <v>274</v>
      </c>
      <c r="AD35" s="43" t="s">
        <v>36</v>
      </c>
      <c r="AE35" s="43" t="s">
        <v>36</v>
      </c>
      <c r="AF35" s="43" t="s">
        <v>568</v>
      </c>
    </row>
    <row r="36" spans="2:32" x14ac:dyDescent="0.3">
      <c r="B36" s="4">
        <v>31</v>
      </c>
      <c r="C36" s="43" t="s">
        <v>731</v>
      </c>
      <c r="D36" s="43" t="s">
        <v>732</v>
      </c>
      <c r="E36" s="43" t="s">
        <v>220</v>
      </c>
      <c r="F36" s="43" t="s">
        <v>714</v>
      </c>
      <c r="G36" s="134">
        <v>41003</v>
      </c>
      <c r="H36" s="43" t="s">
        <v>32</v>
      </c>
      <c r="I36" s="43" t="s">
        <v>612</v>
      </c>
      <c r="J36" s="142">
        <v>62.6</v>
      </c>
      <c r="K36" s="142" t="s">
        <v>612</v>
      </c>
      <c r="L36" s="142" t="s">
        <v>612</v>
      </c>
      <c r="M36" s="146">
        <v>0</v>
      </c>
      <c r="N36" s="143">
        <f t="shared" si="2"/>
        <v>0</v>
      </c>
      <c r="O36" s="43" t="s">
        <v>568</v>
      </c>
      <c r="P36" s="82">
        <v>29.635689840000001</v>
      </c>
      <c r="Q36" s="157">
        <v>0</v>
      </c>
      <c r="R36" s="145">
        <v>3.6817256070287539E-2</v>
      </c>
      <c r="S36" s="145" t="s">
        <v>612</v>
      </c>
      <c r="T36" s="67">
        <f t="shared" si="0"/>
        <v>7.4864350000000002</v>
      </c>
      <c r="U36" s="82">
        <v>0</v>
      </c>
      <c r="V36" s="82">
        <v>7.4864350000000002</v>
      </c>
      <c r="W36" s="82">
        <f t="shared" si="1"/>
        <v>0.25261551326857862</v>
      </c>
      <c r="X36" s="145" t="s">
        <v>49</v>
      </c>
      <c r="Z36" s="50">
        <f t="shared" si="3"/>
        <v>0.25261551326857862</v>
      </c>
      <c r="AA36" s="43" t="s">
        <v>837</v>
      </c>
      <c r="AB36" s="43" t="s">
        <v>872</v>
      </c>
      <c r="AC36" s="43" t="s">
        <v>274</v>
      </c>
      <c r="AD36" s="43" t="s">
        <v>36</v>
      </c>
      <c r="AE36" s="43" t="s">
        <v>36</v>
      </c>
      <c r="AF36" s="43" t="s">
        <v>568</v>
      </c>
    </row>
    <row r="37" spans="2:32" x14ac:dyDescent="0.3">
      <c r="B37" s="4">
        <v>32</v>
      </c>
      <c r="C37" s="43" t="s">
        <v>641</v>
      </c>
      <c r="D37" s="43" t="s">
        <v>642</v>
      </c>
      <c r="E37" s="43" t="s">
        <v>220</v>
      </c>
      <c r="F37" s="43" t="s">
        <v>647</v>
      </c>
      <c r="G37" s="134">
        <v>41059</v>
      </c>
      <c r="H37" s="43" t="s">
        <v>32</v>
      </c>
      <c r="I37" s="43" t="s">
        <v>612</v>
      </c>
      <c r="J37" s="142">
        <v>44.764960000000002</v>
      </c>
      <c r="K37" s="142" t="s">
        <v>612</v>
      </c>
      <c r="L37" s="142" t="s">
        <v>612</v>
      </c>
      <c r="M37" s="146">
        <v>0</v>
      </c>
      <c r="N37" s="143">
        <f t="shared" si="2"/>
        <v>0</v>
      </c>
      <c r="O37" s="43" t="s">
        <v>568</v>
      </c>
      <c r="P37" s="82">
        <v>8.8000000000000007</v>
      </c>
      <c r="Q37" s="157">
        <v>0</v>
      </c>
      <c r="R37" s="145">
        <v>0.11169450178555874</v>
      </c>
      <c r="S37" s="145" t="s">
        <v>612</v>
      </c>
      <c r="T37" s="67">
        <f t="shared" si="0"/>
        <v>1.7437900000000002</v>
      </c>
      <c r="U37" s="82">
        <v>0</v>
      </c>
      <c r="V37" s="82">
        <v>1.7437900000000002</v>
      </c>
      <c r="W37" s="82">
        <f t="shared" si="1"/>
        <v>0.19815795454545454</v>
      </c>
      <c r="X37" s="145" t="s">
        <v>49</v>
      </c>
      <c r="Z37" s="50">
        <f t="shared" si="3"/>
        <v>0.19815795454545454</v>
      </c>
      <c r="AA37" s="43" t="s">
        <v>666</v>
      </c>
      <c r="AB37" s="43" t="s">
        <v>685</v>
      </c>
      <c r="AC37" s="43" t="s">
        <v>438</v>
      </c>
      <c r="AD37" s="43" t="s">
        <v>36</v>
      </c>
      <c r="AE37" s="43" t="s">
        <v>36</v>
      </c>
      <c r="AF37" s="43" t="s">
        <v>568</v>
      </c>
    </row>
    <row r="38" spans="2:32" x14ac:dyDescent="0.3">
      <c r="B38" s="4">
        <v>33</v>
      </c>
      <c r="C38" s="43" t="s">
        <v>733</v>
      </c>
      <c r="D38" s="43" t="s">
        <v>734</v>
      </c>
      <c r="E38" s="43" t="s">
        <v>30</v>
      </c>
      <c r="F38" s="43" t="s">
        <v>55</v>
      </c>
      <c r="G38" s="134">
        <v>40850</v>
      </c>
      <c r="H38" s="43" t="s">
        <v>32</v>
      </c>
      <c r="I38" s="43" t="s">
        <v>612</v>
      </c>
      <c r="J38" s="142">
        <v>135</v>
      </c>
      <c r="K38" s="142" t="s">
        <v>612</v>
      </c>
      <c r="L38" s="142" t="s">
        <v>612</v>
      </c>
      <c r="M38" s="146">
        <v>0</v>
      </c>
      <c r="N38" s="143">
        <f t="shared" si="2"/>
        <v>0</v>
      </c>
      <c r="O38" s="43" t="s">
        <v>568</v>
      </c>
      <c r="P38" s="82">
        <v>11.999205000000003</v>
      </c>
      <c r="Q38" s="157">
        <v>0</v>
      </c>
      <c r="R38" s="145">
        <v>7.407407407407407E-2</v>
      </c>
      <c r="S38" s="145" t="s">
        <v>612</v>
      </c>
      <c r="T38" s="67">
        <f t="shared" si="0"/>
        <v>2.0097999999999998</v>
      </c>
      <c r="U38" s="82">
        <v>0</v>
      </c>
      <c r="V38" s="82">
        <v>2.0097999999999998</v>
      </c>
      <c r="W38" s="82">
        <f t="shared" si="1"/>
        <v>0.16749442983931012</v>
      </c>
      <c r="X38" s="145" t="s">
        <v>49</v>
      </c>
      <c r="Z38" s="50">
        <f t="shared" si="3"/>
        <v>0.16749442983931012</v>
      </c>
      <c r="AA38" s="43" t="s">
        <v>838</v>
      </c>
      <c r="AC38" s="43" t="s">
        <v>897</v>
      </c>
      <c r="AD38" s="43" t="s">
        <v>69</v>
      </c>
      <c r="AE38" s="43" t="s">
        <v>69</v>
      </c>
      <c r="AF38" s="43" t="s">
        <v>568</v>
      </c>
    </row>
    <row r="39" spans="2:32" x14ac:dyDescent="0.3">
      <c r="B39" s="4">
        <v>34</v>
      </c>
      <c r="C39" s="43" t="s">
        <v>735</v>
      </c>
      <c r="D39" s="43" t="s">
        <v>736</v>
      </c>
      <c r="E39" s="43" t="s">
        <v>81</v>
      </c>
      <c r="F39" s="43" t="s">
        <v>910</v>
      </c>
      <c r="G39" s="134">
        <v>40654</v>
      </c>
      <c r="H39" s="43" t="s">
        <v>32</v>
      </c>
      <c r="I39" s="43" t="s">
        <v>612</v>
      </c>
      <c r="J39" s="142">
        <v>37.5</v>
      </c>
      <c r="K39" s="142" t="s">
        <v>612</v>
      </c>
      <c r="L39" s="142" t="s">
        <v>612</v>
      </c>
      <c r="M39" s="146">
        <v>0</v>
      </c>
      <c r="N39" s="143">
        <f t="shared" si="2"/>
        <v>0</v>
      </c>
      <c r="O39" s="43" t="s">
        <v>568</v>
      </c>
      <c r="P39" s="82">
        <v>5.5</v>
      </c>
      <c r="Q39" s="157">
        <v>0</v>
      </c>
      <c r="R39" s="145">
        <v>0.13333333333333333</v>
      </c>
      <c r="S39" s="145" t="s">
        <v>612</v>
      </c>
      <c r="T39" s="67">
        <f t="shared" si="0"/>
        <v>2.088E-3</v>
      </c>
      <c r="U39" s="82">
        <v>0</v>
      </c>
      <c r="V39" s="82">
        <v>2.088E-3</v>
      </c>
      <c r="W39" s="82">
        <f t="shared" si="1"/>
        <v>3.7963636363636362E-4</v>
      </c>
      <c r="X39" s="145" t="s">
        <v>49</v>
      </c>
      <c r="Z39" s="50">
        <f t="shared" si="3"/>
        <v>3.7963636363636362E-4</v>
      </c>
      <c r="AA39" s="43" t="s">
        <v>839</v>
      </c>
      <c r="AC39" s="43" t="s">
        <v>438</v>
      </c>
      <c r="AD39" s="43" t="s">
        <v>69</v>
      </c>
      <c r="AE39" s="43" t="s">
        <v>69</v>
      </c>
      <c r="AF39" s="43" t="s">
        <v>568</v>
      </c>
    </row>
    <row r="40" spans="2:32" x14ac:dyDescent="0.3">
      <c r="B40" s="4">
        <v>35</v>
      </c>
      <c r="C40" s="43" t="s">
        <v>737</v>
      </c>
      <c r="D40" s="43" t="s">
        <v>738</v>
      </c>
      <c r="E40" s="43" t="s">
        <v>81</v>
      </c>
      <c r="F40" s="43" t="s">
        <v>911</v>
      </c>
      <c r="G40" s="134">
        <v>41142</v>
      </c>
      <c r="H40" s="43" t="s">
        <v>32</v>
      </c>
      <c r="I40" s="43" t="s">
        <v>612</v>
      </c>
      <c r="J40" s="142">
        <v>65.2</v>
      </c>
      <c r="K40" s="142" t="s">
        <v>612</v>
      </c>
      <c r="L40" s="142" t="s">
        <v>612</v>
      </c>
      <c r="M40" s="146">
        <v>0</v>
      </c>
      <c r="N40" s="143">
        <f t="shared" si="2"/>
        <v>0</v>
      </c>
      <c r="O40" s="43" t="s">
        <v>568</v>
      </c>
      <c r="P40" s="82">
        <v>5.484572</v>
      </c>
      <c r="Q40" s="157">
        <v>0</v>
      </c>
      <c r="R40" s="145">
        <v>5.3666542331288349E-2</v>
      </c>
      <c r="S40" s="145" t="s">
        <v>612</v>
      </c>
      <c r="T40" s="67">
        <f t="shared" si="0"/>
        <v>1.2760000000000001E-2</v>
      </c>
      <c r="U40" s="82">
        <v>0</v>
      </c>
      <c r="V40" s="82">
        <v>1.2760000000000001E-2</v>
      </c>
      <c r="W40" s="82">
        <f t="shared" si="1"/>
        <v>2.3265261172612925E-3</v>
      </c>
      <c r="X40" s="145" t="s">
        <v>49</v>
      </c>
      <c r="Z40" s="50">
        <f t="shared" si="3"/>
        <v>2.3265261172612925E-3</v>
      </c>
      <c r="AC40" s="43" t="s">
        <v>898</v>
      </c>
      <c r="AD40" s="43" t="s">
        <v>36</v>
      </c>
      <c r="AE40" s="43" t="s">
        <v>107</v>
      </c>
      <c r="AF40" s="43" t="s">
        <v>568</v>
      </c>
    </row>
    <row r="41" spans="2:32" x14ac:dyDescent="0.3">
      <c r="B41" s="4">
        <v>36</v>
      </c>
      <c r="C41" s="43" t="s">
        <v>640</v>
      </c>
      <c r="D41" s="43" t="s">
        <v>739</v>
      </c>
      <c r="E41" s="43" t="s">
        <v>81</v>
      </c>
      <c r="F41" s="43" t="s">
        <v>271</v>
      </c>
      <c r="G41" s="134">
        <v>41478</v>
      </c>
      <c r="H41" s="43" t="s">
        <v>32</v>
      </c>
      <c r="I41" s="43" t="s">
        <v>612</v>
      </c>
      <c r="J41" s="142">
        <v>30</v>
      </c>
      <c r="K41" s="142" t="s">
        <v>612</v>
      </c>
      <c r="L41" s="142" t="s">
        <v>612</v>
      </c>
      <c r="M41" s="146">
        <v>0</v>
      </c>
      <c r="N41" s="143">
        <f t="shared" si="2"/>
        <v>0</v>
      </c>
      <c r="O41" s="43" t="s">
        <v>568</v>
      </c>
      <c r="P41" s="82">
        <v>7.5</v>
      </c>
      <c r="Q41" s="157">
        <v>0</v>
      </c>
      <c r="R41" s="145">
        <v>0.25</v>
      </c>
      <c r="S41" s="145" t="s">
        <v>612</v>
      </c>
      <c r="T41" s="67">
        <f t="shared" si="0"/>
        <v>8.286E-3</v>
      </c>
      <c r="U41" s="82">
        <v>0</v>
      </c>
      <c r="V41" s="82">
        <v>8.286E-3</v>
      </c>
      <c r="W41" s="82">
        <f t="shared" si="1"/>
        <v>1.1048E-3</v>
      </c>
      <c r="X41" s="145" t="s">
        <v>49</v>
      </c>
      <c r="Z41" s="50">
        <f t="shared" si="3"/>
        <v>1.1048E-3</v>
      </c>
      <c r="AA41" s="43" t="s">
        <v>665</v>
      </c>
      <c r="AC41" s="43" t="s">
        <v>73</v>
      </c>
      <c r="AD41" s="43" t="s">
        <v>36</v>
      </c>
      <c r="AE41" s="43" t="s">
        <v>60</v>
      </c>
      <c r="AF41" s="43" t="s">
        <v>568</v>
      </c>
    </row>
    <row r="42" spans="2:32" x14ac:dyDescent="0.3">
      <c r="B42" s="4">
        <v>37</v>
      </c>
      <c r="C42" s="43" t="s">
        <v>740</v>
      </c>
      <c r="D42" s="43" t="s">
        <v>741</v>
      </c>
      <c r="E42" s="43" t="s">
        <v>39</v>
      </c>
      <c r="F42" s="43" t="s">
        <v>911</v>
      </c>
      <c r="G42" s="134">
        <v>41358</v>
      </c>
      <c r="H42" s="43" t="s">
        <v>32</v>
      </c>
      <c r="I42" s="43" t="s">
        <v>612</v>
      </c>
      <c r="J42" s="142">
        <v>97</v>
      </c>
      <c r="K42" s="142" t="s">
        <v>612</v>
      </c>
      <c r="L42" s="142" t="s">
        <v>612</v>
      </c>
      <c r="M42" s="146">
        <v>0</v>
      </c>
      <c r="N42" s="143">
        <f t="shared" si="2"/>
        <v>0</v>
      </c>
      <c r="O42" s="43" t="s">
        <v>568</v>
      </c>
      <c r="P42" s="82">
        <v>5</v>
      </c>
      <c r="Q42" s="157">
        <v>0</v>
      </c>
      <c r="R42" s="145">
        <v>5.1546391752577324E-2</v>
      </c>
      <c r="S42" s="145" t="s">
        <v>612</v>
      </c>
      <c r="T42" s="67">
        <f t="shared" si="0"/>
        <v>3.8499999999999997E-3</v>
      </c>
      <c r="U42" s="82">
        <v>0</v>
      </c>
      <c r="V42" s="82">
        <v>3.8499999999999997E-3</v>
      </c>
      <c r="W42" s="82">
        <f t="shared" si="1"/>
        <v>7.6999999999999996E-4</v>
      </c>
      <c r="X42" s="145" t="s">
        <v>49</v>
      </c>
      <c r="Z42" s="50">
        <f t="shared" si="3"/>
        <v>7.6999999999999996E-4</v>
      </c>
      <c r="AA42" s="43" t="s">
        <v>840</v>
      </c>
      <c r="AC42" s="43" t="s">
        <v>897</v>
      </c>
      <c r="AD42" s="43" t="s">
        <v>36</v>
      </c>
      <c r="AE42" s="43" t="s">
        <v>60</v>
      </c>
      <c r="AF42" s="43" t="s">
        <v>568</v>
      </c>
    </row>
    <row r="43" spans="2:32" x14ac:dyDescent="0.3">
      <c r="B43" s="4">
        <v>38</v>
      </c>
      <c r="C43" s="43" t="s">
        <v>742</v>
      </c>
      <c r="D43" s="43" t="s">
        <v>743</v>
      </c>
      <c r="E43" s="43" t="s">
        <v>81</v>
      </c>
      <c r="F43" s="43" t="s">
        <v>271</v>
      </c>
      <c r="G43" s="134">
        <v>41568</v>
      </c>
      <c r="H43" s="43" t="s">
        <v>32</v>
      </c>
      <c r="I43" s="43" t="s">
        <v>612</v>
      </c>
      <c r="J43" s="142">
        <v>48.5</v>
      </c>
      <c r="K43" s="142" t="s">
        <v>612</v>
      </c>
      <c r="L43" s="142" t="s">
        <v>612</v>
      </c>
      <c r="M43" s="146">
        <v>0</v>
      </c>
      <c r="N43" s="143">
        <f t="shared" si="2"/>
        <v>0</v>
      </c>
      <c r="O43" s="43" t="s">
        <v>568</v>
      </c>
      <c r="P43" s="82">
        <v>5.1705610000000002</v>
      </c>
      <c r="Q43" s="157">
        <v>0</v>
      </c>
      <c r="R43" s="145">
        <v>6.7599999999999993E-2</v>
      </c>
      <c r="S43" s="145" t="s">
        <v>612</v>
      </c>
      <c r="T43" s="67">
        <f t="shared" si="0"/>
        <v>3.3159999999999999E-3</v>
      </c>
      <c r="U43" s="82">
        <v>0</v>
      </c>
      <c r="V43" s="82">
        <v>3.3159999999999999E-3</v>
      </c>
      <c r="W43" s="82">
        <f t="shared" si="1"/>
        <v>6.4132305952874355E-4</v>
      </c>
      <c r="X43" s="145" t="s">
        <v>49</v>
      </c>
      <c r="Z43" s="50">
        <f t="shared" si="3"/>
        <v>6.4132305952874355E-4</v>
      </c>
      <c r="AA43" s="43" t="s">
        <v>841</v>
      </c>
      <c r="AB43" s="43" t="s">
        <v>873</v>
      </c>
      <c r="AC43" s="43" t="s">
        <v>899</v>
      </c>
      <c r="AD43" s="43" t="s">
        <v>36</v>
      </c>
      <c r="AE43" s="43" t="s">
        <v>36</v>
      </c>
      <c r="AF43" s="43" t="s">
        <v>568</v>
      </c>
    </row>
    <row r="44" spans="2:32" x14ac:dyDescent="0.3">
      <c r="B44" s="4">
        <v>39</v>
      </c>
      <c r="C44" s="43" t="s">
        <v>744</v>
      </c>
      <c r="D44" s="43" t="s">
        <v>744</v>
      </c>
      <c r="E44" s="43" t="s">
        <v>30</v>
      </c>
      <c r="F44" s="43" t="s">
        <v>271</v>
      </c>
      <c r="G44" s="134">
        <v>41509</v>
      </c>
      <c r="H44" s="43" t="s">
        <v>32</v>
      </c>
      <c r="I44" s="43" t="s">
        <v>612</v>
      </c>
      <c r="J44" s="142">
        <v>55.2</v>
      </c>
      <c r="K44" s="142" t="s">
        <v>612</v>
      </c>
      <c r="L44" s="142" t="s">
        <v>612</v>
      </c>
      <c r="M44" s="146">
        <v>0</v>
      </c>
      <c r="N44" s="143">
        <f t="shared" si="2"/>
        <v>0</v>
      </c>
      <c r="O44" s="43" t="s">
        <v>568</v>
      </c>
      <c r="P44" s="82">
        <v>2.5</v>
      </c>
      <c r="Q44" s="157">
        <v>0</v>
      </c>
      <c r="R44" s="145">
        <v>4.5289855072463775E-2</v>
      </c>
      <c r="S44" s="145" t="s">
        <v>612</v>
      </c>
      <c r="T44" s="67">
        <f t="shared" si="0"/>
        <v>1.4139999999999999E-3</v>
      </c>
      <c r="U44" s="82">
        <v>0</v>
      </c>
      <c r="V44" s="82">
        <v>1.4139999999999999E-3</v>
      </c>
      <c r="W44" s="82">
        <f t="shared" si="1"/>
        <v>5.6559999999999998E-4</v>
      </c>
      <c r="X44" s="145" t="s">
        <v>49</v>
      </c>
      <c r="Z44" s="50">
        <f t="shared" si="3"/>
        <v>5.6559999999999998E-4</v>
      </c>
      <c r="AA44" s="43" t="s">
        <v>842</v>
      </c>
      <c r="AC44" s="43" t="s">
        <v>889</v>
      </c>
      <c r="AD44" s="43" t="s">
        <v>36</v>
      </c>
      <c r="AE44" s="43" t="s">
        <v>60</v>
      </c>
      <c r="AF44" s="43" t="s">
        <v>568</v>
      </c>
    </row>
    <row r="45" spans="2:32" x14ac:dyDescent="0.3">
      <c r="C45" s="43" t="s">
        <v>745</v>
      </c>
      <c r="D45" s="43" t="s">
        <v>746</v>
      </c>
      <c r="E45" s="43" t="s">
        <v>30</v>
      </c>
      <c r="F45" s="43" t="s">
        <v>271</v>
      </c>
      <c r="G45" s="134">
        <v>40837</v>
      </c>
      <c r="H45" s="43" t="s">
        <v>32</v>
      </c>
      <c r="I45" s="43" t="s">
        <v>612</v>
      </c>
      <c r="J45" s="142" t="s">
        <v>612</v>
      </c>
      <c r="K45" s="142" t="s">
        <v>612</v>
      </c>
      <c r="L45" s="142" t="s">
        <v>612</v>
      </c>
      <c r="M45" s="146">
        <v>0</v>
      </c>
      <c r="N45" s="143">
        <f t="shared" si="2"/>
        <v>0</v>
      </c>
      <c r="O45" s="43" t="s">
        <v>568</v>
      </c>
      <c r="P45" s="82">
        <v>19.100000000000001</v>
      </c>
      <c r="Q45" s="157">
        <v>0</v>
      </c>
      <c r="R45" s="145">
        <v>0.21052631578947367</v>
      </c>
      <c r="S45" s="145" t="s">
        <v>612</v>
      </c>
      <c r="T45" s="67">
        <f t="shared" si="0"/>
        <v>7.5788000000000001E-3</v>
      </c>
      <c r="U45" s="82">
        <v>0</v>
      </c>
      <c r="V45" s="82">
        <v>7.5788000000000001E-3</v>
      </c>
      <c r="W45" s="82">
        <f t="shared" si="1"/>
        <v>3.9679581151832457E-4</v>
      </c>
      <c r="X45" s="145" t="s">
        <v>49</v>
      </c>
      <c r="Z45" s="50">
        <f t="shared" si="3"/>
        <v>3.9679581151832457E-4</v>
      </c>
      <c r="AA45" s="43" t="s">
        <v>843</v>
      </c>
      <c r="AD45" s="43" t="s">
        <v>36</v>
      </c>
      <c r="AE45" s="43" t="s">
        <v>60</v>
      </c>
      <c r="AF45" s="43" t="s">
        <v>568</v>
      </c>
    </row>
    <row r="46" spans="2:32" x14ac:dyDescent="0.3">
      <c r="C46" s="43" t="s">
        <v>747</v>
      </c>
      <c r="D46" s="43" t="s">
        <v>748</v>
      </c>
      <c r="E46" s="43" t="s">
        <v>30</v>
      </c>
      <c r="F46" s="43" t="s">
        <v>271</v>
      </c>
      <c r="G46" s="134">
        <v>41041</v>
      </c>
      <c r="H46" s="43" t="s">
        <v>32</v>
      </c>
      <c r="I46" s="43" t="s">
        <v>612</v>
      </c>
      <c r="J46" s="142" t="s">
        <v>612</v>
      </c>
      <c r="K46" s="142" t="s">
        <v>612</v>
      </c>
      <c r="L46" s="142" t="s">
        <v>612</v>
      </c>
      <c r="M46" s="146">
        <v>0</v>
      </c>
      <c r="N46" s="143">
        <f t="shared" si="2"/>
        <v>0</v>
      </c>
      <c r="O46" s="43" t="s">
        <v>568</v>
      </c>
      <c r="P46" s="82">
        <v>9.1000000000000014</v>
      </c>
      <c r="Q46" s="157">
        <v>0</v>
      </c>
      <c r="R46" s="145" t="s">
        <v>612</v>
      </c>
      <c r="S46" s="145" t="s">
        <v>612</v>
      </c>
      <c r="T46" s="67">
        <f t="shared" si="0"/>
        <v>9.1000000000000004E-3</v>
      </c>
      <c r="U46" s="82">
        <v>0</v>
      </c>
      <c r="V46" s="82">
        <v>9.1000000000000004E-3</v>
      </c>
      <c r="W46" s="82">
        <f t="shared" si="1"/>
        <v>9.999999999999998E-4</v>
      </c>
      <c r="X46" s="145" t="s">
        <v>49</v>
      </c>
      <c r="Z46" s="50">
        <f t="shared" si="3"/>
        <v>9.999999999999998E-4</v>
      </c>
      <c r="AA46" s="43" t="s">
        <v>844</v>
      </c>
      <c r="AC46" s="43" t="s">
        <v>73</v>
      </c>
      <c r="AD46" s="43" t="s">
        <v>60</v>
      </c>
      <c r="AE46" s="43" t="s">
        <v>60</v>
      </c>
      <c r="AF46" s="43" t="s">
        <v>568</v>
      </c>
    </row>
    <row r="47" spans="2:32" x14ac:dyDescent="0.3">
      <c r="B47" s="4">
        <v>40</v>
      </c>
      <c r="C47" s="43" t="s">
        <v>749</v>
      </c>
      <c r="D47" s="43" t="s">
        <v>750</v>
      </c>
      <c r="E47" s="43" t="s">
        <v>30</v>
      </c>
      <c r="F47" s="43" t="s">
        <v>40</v>
      </c>
      <c r="G47" s="134">
        <v>40780</v>
      </c>
      <c r="H47" s="43" t="s">
        <v>32</v>
      </c>
      <c r="I47" s="43" t="s">
        <v>612</v>
      </c>
      <c r="J47" s="142">
        <v>46.7</v>
      </c>
      <c r="K47" s="142" t="s">
        <v>612</v>
      </c>
      <c r="L47" s="142" t="s">
        <v>612</v>
      </c>
      <c r="M47" s="146">
        <v>0</v>
      </c>
      <c r="N47" s="143">
        <f t="shared" si="2"/>
        <v>0</v>
      </c>
      <c r="O47" s="43" t="s">
        <v>568</v>
      </c>
      <c r="P47" s="82">
        <v>3.5</v>
      </c>
      <c r="Q47" s="157">
        <v>0</v>
      </c>
      <c r="R47" s="145">
        <v>7.4946466809421838E-2</v>
      </c>
      <c r="S47" s="145" t="s">
        <v>612</v>
      </c>
      <c r="T47" s="67">
        <f t="shared" si="0"/>
        <v>1.3619999999999999E-3</v>
      </c>
      <c r="U47" s="82">
        <v>0</v>
      </c>
      <c r="V47" s="82">
        <v>1.3619999999999999E-3</v>
      </c>
      <c r="W47" s="82">
        <f t="shared" si="1"/>
        <v>3.8914285714285711E-4</v>
      </c>
      <c r="X47" s="145" t="s">
        <v>49</v>
      </c>
      <c r="Z47" s="50">
        <f t="shared" si="3"/>
        <v>3.8914285714285711E-4</v>
      </c>
      <c r="AB47" s="43" t="s">
        <v>874</v>
      </c>
      <c r="AC47" s="43" t="s">
        <v>157</v>
      </c>
      <c r="AD47" s="43" t="s">
        <v>36</v>
      </c>
      <c r="AE47" s="43" t="s">
        <v>36</v>
      </c>
      <c r="AF47" s="43" t="s">
        <v>568</v>
      </c>
    </row>
    <row r="48" spans="2:32" x14ac:dyDescent="0.3">
      <c r="B48" s="4">
        <v>41</v>
      </c>
      <c r="C48" s="43" t="s">
        <v>751</v>
      </c>
      <c r="D48" s="43" t="s">
        <v>752</v>
      </c>
      <c r="E48" s="43" t="s">
        <v>150</v>
      </c>
      <c r="F48" s="43" t="s">
        <v>127</v>
      </c>
      <c r="G48" s="134">
        <v>40975</v>
      </c>
      <c r="H48" s="43" t="s">
        <v>32</v>
      </c>
      <c r="I48" s="43" t="s">
        <v>612</v>
      </c>
      <c r="J48" s="142">
        <v>42.5</v>
      </c>
      <c r="K48" s="142" t="s">
        <v>612</v>
      </c>
      <c r="L48" s="142" t="s">
        <v>612</v>
      </c>
      <c r="M48" s="146">
        <v>0</v>
      </c>
      <c r="N48" s="143">
        <f t="shared" si="2"/>
        <v>0</v>
      </c>
      <c r="O48" s="43" t="s">
        <v>568</v>
      </c>
      <c r="P48" s="82">
        <v>9.4</v>
      </c>
      <c r="Q48" s="157">
        <v>0</v>
      </c>
      <c r="R48" s="145">
        <v>9.9999999999999992E-2</v>
      </c>
      <c r="S48" s="145" t="s">
        <v>612</v>
      </c>
      <c r="T48" s="67">
        <f t="shared" si="0"/>
        <v>3.5379999999999999E-3</v>
      </c>
      <c r="U48" s="82">
        <v>0</v>
      </c>
      <c r="V48" s="82">
        <v>3.5379999999999999E-3</v>
      </c>
      <c r="W48" s="82">
        <f t="shared" si="1"/>
        <v>3.7638297872340422E-4</v>
      </c>
      <c r="X48" s="145" t="s">
        <v>49</v>
      </c>
      <c r="Z48" s="50">
        <f t="shared" si="3"/>
        <v>3.7638297872340422E-4</v>
      </c>
      <c r="AA48" s="43" t="s">
        <v>845</v>
      </c>
      <c r="AC48" s="43" t="s">
        <v>898</v>
      </c>
      <c r="AD48" s="43" t="s">
        <v>36</v>
      </c>
      <c r="AE48" s="43" t="s">
        <v>36</v>
      </c>
      <c r="AF48" s="43" t="s">
        <v>568</v>
      </c>
    </row>
    <row r="49" spans="2:32" x14ac:dyDescent="0.3">
      <c r="B49" s="4">
        <v>42</v>
      </c>
      <c r="C49" s="43" t="s">
        <v>753</v>
      </c>
      <c r="D49" s="43" t="s">
        <v>754</v>
      </c>
      <c r="E49" s="43" t="s">
        <v>81</v>
      </c>
      <c r="F49" s="43" t="s">
        <v>40</v>
      </c>
      <c r="G49" s="134">
        <v>41515</v>
      </c>
      <c r="H49" s="43" t="s">
        <v>32</v>
      </c>
      <c r="I49" s="43" t="s">
        <v>612</v>
      </c>
      <c r="J49" s="142">
        <v>90.8</v>
      </c>
      <c r="K49" s="142" t="s">
        <v>612</v>
      </c>
      <c r="L49" s="142" t="s">
        <v>612</v>
      </c>
      <c r="M49" s="146">
        <v>0</v>
      </c>
      <c r="N49" s="143">
        <f t="shared" si="2"/>
        <v>0</v>
      </c>
      <c r="O49" s="43" t="s">
        <v>568</v>
      </c>
      <c r="P49" s="82">
        <v>12.5</v>
      </c>
      <c r="Q49" s="157">
        <v>0</v>
      </c>
      <c r="R49" s="145">
        <v>0.12114537444933922</v>
      </c>
      <c r="S49" s="145" t="s">
        <v>612</v>
      </c>
      <c r="T49" s="67">
        <f t="shared" si="0"/>
        <v>4.28146E-3</v>
      </c>
      <c r="U49" s="82">
        <v>0</v>
      </c>
      <c r="V49" s="82">
        <v>4.28146E-3</v>
      </c>
      <c r="W49" s="82">
        <f t="shared" si="1"/>
        <v>3.4251680000000001E-4</v>
      </c>
      <c r="X49" s="145" t="s">
        <v>49</v>
      </c>
      <c r="Z49" s="50">
        <f t="shared" si="3"/>
        <v>3.4251680000000001E-4</v>
      </c>
      <c r="AA49" s="43" t="s">
        <v>846</v>
      </c>
      <c r="AB49" s="43" t="s">
        <v>875</v>
      </c>
      <c r="AC49" s="43" t="s">
        <v>900</v>
      </c>
      <c r="AD49" s="43" t="s">
        <v>36</v>
      </c>
      <c r="AE49" s="43" t="s">
        <v>36</v>
      </c>
      <c r="AF49" s="43" t="s">
        <v>568</v>
      </c>
    </row>
    <row r="50" spans="2:32" x14ac:dyDescent="0.3">
      <c r="B50" s="4">
        <v>43</v>
      </c>
      <c r="C50" s="43" t="s">
        <v>755</v>
      </c>
      <c r="D50" s="43" t="s">
        <v>756</v>
      </c>
      <c r="E50" s="43" t="s">
        <v>30</v>
      </c>
      <c r="F50" s="43" t="s">
        <v>711</v>
      </c>
      <c r="G50" s="134">
        <v>42625</v>
      </c>
      <c r="H50" s="43" t="s">
        <v>32</v>
      </c>
      <c r="I50" s="43" t="s">
        <v>612</v>
      </c>
      <c r="J50" s="142">
        <v>89.999999999999986</v>
      </c>
      <c r="K50" s="142" t="s">
        <v>612</v>
      </c>
      <c r="L50" s="142" t="s">
        <v>612</v>
      </c>
      <c r="M50" s="146">
        <v>0</v>
      </c>
      <c r="N50" s="143">
        <f t="shared" si="2"/>
        <v>0</v>
      </c>
      <c r="O50" s="43" t="s">
        <v>568</v>
      </c>
      <c r="P50" s="82">
        <v>3.1706830000000004</v>
      </c>
      <c r="Q50" s="157">
        <v>0</v>
      </c>
      <c r="R50" s="145">
        <v>0.10025000000000001</v>
      </c>
      <c r="S50" s="145" t="s">
        <v>612</v>
      </c>
      <c r="T50" s="67">
        <f t="shared" si="0"/>
        <v>5.8518179999999997</v>
      </c>
      <c r="U50" s="82">
        <v>0</v>
      </c>
      <c r="V50" s="82">
        <v>5.8518179999999997</v>
      </c>
      <c r="W50" s="82">
        <f t="shared" si="1"/>
        <v>1.8456017205125832</v>
      </c>
      <c r="X50" s="145" t="s">
        <v>49</v>
      </c>
      <c r="Z50" s="50">
        <f t="shared" si="3"/>
        <v>1.8456017205125832</v>
      </c>
      <c r="AC50" s="43" t="s">
        <v>901</v>
      </c>
      <c r="AD50" s="43" t="s">
        <v>36</v>
      </c>
      <c r="AE50" s="43" t="s">
        <v>36</v>
      </c>
      <c r="AF50" s="43" t="s">
        <v>568</v>
      </c>
    </row>
    <row r="51" spans="2:32" x14ac:dyDescent="0.3">
      <c r="C51" s="43" t="s">
        <v>757</v>
      </c>
      <c r="D51" s="43" t="s">
        <v>758</v>
      </c>
      <c r="E51" s="43" t="s">
        <v>39</v>
      </c>
      <c r="F51" s="43" t="s">
        <v>711</v>
      </c>
      <c r="G51" s="134">
        <v>42625</v>
      </c>
      <c r="H51" s="43" t="s">
        <v>32</v>
      </c>
      <c r="I51" s="43" t="s">
        <v>612</v>
      </c>
      <c r="J51" s="142" t="s">
        <v>612</v>
      </c>
      <c r="K51" s="142" t="s">
        <v>612</v>
      </c>
      <c r="L51" s="142" t="s">
        <v>612</v>
      </c>
      <c r="M51" s="146">
        <v>0</v>
      </c>
      <c r="N51" s="143">
        <f t="shared" si="2"/>
        <v>0</v>
      </c>
      <c r="O51" s="43" t="s">
        <v>568</v>
      </c>
      <c r="P51" s="82">
        <v>6.1769189999999998</v>
      </c>
      <c r="Q51" s="157">
        <v>0</v>
      </c>
      <c r="R51" s="145" t="s">
        <v>612</v>
      </c>
      <c r="S51" s="145" t="s">
        <v>612</v>
      </c>
      <c r="T51" s="67">
        <f t="shared" si="0"/>
        <v>6.7946110000000006</v>
      </c>
      <c r="U51" s="82">
        <v>0</v>
      </c>
      <c r="V51" s="82">
        <v>6.7946110000000006</v>
      </c>
      <c r="W51" s="82">
        <f t="shared" si="1"/>
        <v>1.1000000161893009</v>
      </c>
      <c r="X51" s="145" t="s">
        <v>49</v>
      </c>
      <c r="Z51" s="50">
        <f t="shared" si="3"/>
        <v>1.1000000161893009</v>
      </c>
      <c r="AB51" s="43" t="s">
        <v>876</v>
      </c>
      <c r="AC51" s="43" t="s">
        <v>902</v>
      </c>
      <c r="AE51" s="43" t="s">
        <v>60</v>
      </c>
      <c r="AF51" s="43" t="s">
        <v>568</v>
      </c>
    </row>
    <row r="52" spans="2:32" x14ac:dyDescent="0.3">
      <c r="B52" s="4">
        <v>44</v>
      </c>
      <c r="C52" s="43" t="s">
        <v>759</v>
      </c>
      <c r="D52" s="43" t="s">
        <v>760</v>
      </c>
      <c r="E52" s="43" t="s">
        <v>30</v>
      </c>
      <c r="F52" s="43" t="s">
        <v>31</v>
      </c>
      <c r="G52" s="134">
        <v>40806</v>
      </c>
      <c r="H52" s="43" t="s">
        <v>32</v>
      </c>
      <c r="I52" s="43" t="s">
        <v>612</v>
      </c>
      <c r="J52" s="142">
        <v>49.994</v>
      </c>
      <c r="K52" s="142" t="s">
        <v>612</v>
      </c>
      <c r="L52" s="142" t="s">
        <v>612</v>
      </c>
      <c r="M52" s="146">
        <v>0</v>
      </c>
      <c r="N52" s="143">
        <f t="shared" si="2"/>
        <v>0</v>
      </c>
      <c r="O52" s="43" t="s">
        <v>568</v>
      </c>
      <c r="P52" s="82">
        <v>6.7479999999999993</v>
      </c>
      <c r="Q52" s="157">
        <v>0</v>
      </c>
      <c r="R52" s="145">
        <v>0.13400000000000001</v>
      </c>
      <c r="S52" s="145" t="s">
        <v>612</v>
      </c>
      <c r="T52" s="67">
        <f t="shared" si="0"/>
        <v>1.928E-3</v>
      </c>
      <c r="U52" s="82">
        <v>0</v>
      </c>
      <c r="V52" s="82">
        <v>1.928E-3</v>
      </c>
      <c r="W52" s="82">
        <f t="shared" si="1"/>
        <v>2.8571428571428574E-4</v>
      </c>
      <c r="X52" s="145" t="s">
        <v>49</v>
      </c>
      <c r="Z52" s="50">
        <f t="shared" si="3"/>
        <v>2.8571428571428574E-4</v>
      </c>
      <c r="AC52" s="43" t="s">
        <v>891</v>
      </c>
      <c r="AD52" s="43" t="s">
        <v>36</v>
      </c>
      <c r="AE52" s="43" t="s">
        <v>36</v>
      </c>
      <c r="AF52" s="43" t="s">
        <v>568</v>
      </c>
    </row>
    <row r="53" spans="2:32" x14ac:dyDescent="0.3">
      <c r="B53" s="4">
        <v>45</v>
      </c>
      <c r="C53" s="43" t="s">
        <v>761</v>
      </c>
      <c r="D53" s="43" t="s">
        <v>762</v>
      </c>
      <c r="E53" s="43" t="s">
        <v>39</v>
      </c>
      <c r="F53" s="43" t="s">
        <v>271</v>
      </c>
      <c r="G53" s="134">
        <v>41142</v>
      </c>
      <c r="H53" s="43" t="s">
        <v>32</v>
      </c>
      <c r="I53" s="43" t="s">
        <v>612</v>
      </c>
      <c r="J53" s="142">
        <v>77.613653999999997</v>
      </c>
      <c r="K53" s="142" t="s">
        <v>612</v>
      </c>
      <c r="L53" s="142" t="s">
        <v>612</v>
      </c>
      <c r="M53" s="146">
        <v>0</v>
      </c>
      <c r="N53" s="143">
        <f t="shared" si="2"/>
        <v>0</v>
      </c>
      <c r="O53" s="43" t="s">
        <v>568</v>
      </c>
      <c r="P53" s="82">
        <v>10</v>
      </c>
      <c r="Q53" s="157">
        <v>0</v>
      </c>
      <c r="R53" s="145">
        <v>0.12886597938144331</v>
      </c>
      <c r="S53" s="145" t="s">
        <v>612</v>
      </c>
      <c r="T53" s="67">
        <f t="shared" si="0"/>
        <v>2.382E-3</v>
      </c>
      <c r="U53" s="82">
        <v>0</v>
      </c>
      <c r="V53" s="82">
        <v>2.382E-3</v>
      </c>
      <c r="W53" s="82">
        <f t="shared" si="1"/>
        <v>2.3819999999999999E-4</v>
      </c>
      <c r="X53" s="145" t="s">
        <v>49</v>
      </c>
      <c r="Z53" s="50">
        <f t="shared" si="3"/>
        <v>2.3819999999999999E-4</v>
      </c>
      <c r="AA53" s="43" t="s">
        <v>847</v>
      </c>
      <c r="AC53" s="43" t="s">
        <v>672</v>
      </c>
      <c r="AD53" s="43" t="s">
        <v>36</v>
      </c>
      <c r="AE53" s="43" t="s">
        <v>107</v>
      </c>
      <c r="AF53" s="43" t="s">
        <v>568</v>
      </c>
    </row>
    <row r="54" spans="2:32" x14ac:dyDescent="0.3">
      <c r="B54" s="4">
        <v>46</v>
      </c>
      <c r="C54" s="43" t="s">
        <v>912</v>
      </c>
      <c r="D54" s="43" t="s">
        <v>763</v>
      </c>
      <c r="E54" s="43" t="s">
        <v>30</v>
      </c>
      <c r="F54" s="43" t="s">
        <v>86</v>
      </c>
      <c r="G54" s="134">
        <v>40994</v>
      </c>
      <c r="H54" s="43" t="s">
        <v>32</v>
      </c>
      <c r="I54" s="43" t="s">
        <v>612</v>
      </c>
      <c r="J54" s="142">
        <v>105.777777</v>
      </c>
      <c r="K54" s="142" t="s">
        <v>612</v>
      </c>
      <c r="L54" s="142" t="s">
        <v>612</v>
      </c>
      <c r="M54" s="146">
        <v>0</v>
      </c>
      <c r="N54" s="143">
        <f t="shared" si="2"/>
        <v>0</v>
      </c>
      <c r="O54" s="43" t="s">
        <v>568</v>
      </c>
      <c r="P54" s="82">
        <v>11.333985</v>
      </c>
      <c r="Q54" s="157">
        <v>0</v>
      </c>
      <c r="R54" s="145">
        <v>0.10712651228733459</v>
      </c>
      <c r="S54" s="145" t="s">
        <v>612</v>
      </c>
      <c r="T54" s="67">
        <f t="shared" si="0"/>
        <v>2.6840000000000002E-3</v>
      </c>
      <c r="U54" s="82">
        <v>0</v>
      </c>
      <c r="V54" s="82">
        <v>2.6840000000000002E-3</v>
      </c>
      <c r="W54" s="82">
        <f t="shared" si="1"/>
        <v>2.3680991284177631E-4</v>
      </c>
      <c r="X54" s="145" t="s">
        <v>49</v>
      </c>
      <c r="Z54" s="50">
        <f t="shared" si="3"/>
        <v>2.3680991284177631E-4</v>
      </c>
      <c r="AB54" s="43" t="s">
        <v>877</v>
      </c>
      <c r="AC54" s="43" t="s">
        <v>274</v>
      </c>
      <c r="AD54" s="43" t="s">
        <v>36</v>
      </c>
      <c r="AE54" s="43" t="s">
        <v>36</v>
      </c>
      <c r="AF54" s="43" t="s">
        <v>568</v>
      </c>
    </row>
    <row r="55" spans="2:32" x14ac:dyDescent="0.3">
      <c r="B55" s="4">
        <v>47</v>
      </c>
      <c r="C55" s="43" t="s">
        <v>764</v>
      </c>
      <c r="D55" s="43" t="s">
        <v>765</v>
      </c>
      <c r="E55" s="43" t="s">
        <v>30</v>
      </c>
      <c r="F55" s="43" t="s">
        <v>791</v>
      </c>
      <c r="G55" s="134">
        <v>41499</v>
      </c>
      <c r="H55" s="43" t="s">
        <v>32</v>
      </c>
      <c r="I55" s="43" t="s">
        <v>612</v>
      </c>
      <c r="J55" s="142">
        <v>80</v>
      </c>
      <c r="K55" s="142" t="s">
        <v>612</v>
      </c>
      <c r="L55" s="142" t="s">
        <v>612</v>
      </c>
      <c r="M55" s="146">
        <v>0</v>
      </c>
      <c r="N55" s="143">
        <f t="shared" si="2"/>
        <v>0</v>
      </c>
      <c r="O55" s="43" t="s">
        <v>568</v>
      </c>
      <c r="P55" s="82">
        <v>10.7</v>
      </c>
      <c r="Q55" s="157">
        <v>0</v>
      </c>
      <c r="R55" s="145">
        <v>0.12029568679814986</v>
      </c>
      <c r="S55" s="145" t="s">
        <v>612</v>
      </c>
      <c r="T55" s="67">
        <f t="shared" si="0"/>
        <v>2.0739999999999999E-3</v>
      </c>
      <c r="U55" s="82">
        <v>0</v>
      </c>
      <c r="V55" s="82">
        <v>2.0739999999999999E-3</v>
      </c>
      <c r="W55" s="82">
        <f t="shared" si="1"/>
        <v>1.9383177570093458E-4</v>
      </c>
      <c r="X55" s="145" t="s">
        <v>49</v>
      </c>
      <c r="Z55" s="50">
        <f t="shared" si="3"/>
        <v>1.9383177570093458E-4</v>
      </c>
      <c r="AA55" s="43" t="s">
        <v>848</v>
      </c>
      <c r="AC55" s="43" t="s">
        <v>899</v>
      </c>
      <c r="AD55" s="43" t="s">
        <v>36</v>
      </c>
      <c r="AE55" s="43" t="s">
        <v>60</v>
      </c>
      <c r="AF55" s="43" t="s">
        <v>568</v>
      </c>
    </row>
    <row r="56" spans="2:32" x14ac:dyDescent="0.3">
      <c r="B56" s="4">
        <v>48</v>
      </c>
      <c r="C56" s="43" t="s">
        <v>766</v>
      </c>
      <c r="D56" s="43" t="s">
        <v>767</v>
      </c>
      <c r="E56" s="43" t="s">
        <v>81</v>
      </c>
      <c r="F56" s="43" t="s">
        <v>271</v>
      </c>
      <c r="G56" s="134">
        <v>40994</v>
      </c>
      <c r="H56" s="43" t="s">
        <v>32</v>
      </c>
      <c r="I56" s="43" t="s">
        <v>612</v>
      </c>
      <c r="J56" s="142">
        <v>46.6</v>
      </c>
      <c r="K56" s="142" t="s">
        <v>612</v>
      </c>
      <c r="L56" s="142" t="s">
        <v>612</v>
      </c>
      <c r="M56" s="146">
        <v>0</v>
      </c>
      <c r="N56" s="143">
        <f t="shared" si="2"/>
        <v>0</v>
      </c>
      <c r="O56" s="43" t="s">
        <v>568</v>
      </c>
      <c r="P56" s="82">
        <v>3.6750290000000003</v>
      </c>
      <c r="Q56" s="157">
        <v>0</v>
      </c>
      <c r="R56" s="145">
        <v>7.8863283261802572E-2</v>
      </c>
      <c r="S56" s="145" t="s">
        <v>612</v>
      </c>
      <c r="T56" s="67">
        <f t="shared" si="0"/>
        <v>0</v>
      </c>
      <c r="U56" s="82">
        <v>0</v>
      </c>
      <c r="V56" s="82">
        <v>0</v>
      </c>
      <c r="W56" s="82">
        <f t="shared" si="1"/>
        <v>0</v>
      </c>
      <c r="X56" s="145" t="s">
        <v>49</v>
      </c>
      <c r="Z56" s="50">
        <f t="shared" si="3"/>
        <v>0</v>
      </c>
      <c r="AA56" s="43" t="s">
        <v>849</v>
      </c>
      <c r="AC56" s="43" t="s">
        <v>891</v>
      </c>
      <c r="AD56" s="43" t="s">
        <v>36</v>
      </c>
      <c r="AE56" s="43" t="s">
        <v>36</v>
      </c>
      <c r="AF56" s="43" t="s">
        <v>568</v>
      </c>
    </row>
    <row r="57" spans="2:32" x14ac:dyDescent="0.3">
      <c r="C57" s="43" t="s">
        <v>768</v>
      </c>
      <c r="D57" s="43" t="s">
        <v>769</v>
      </c>
      <c r="E57" s="43" t="s">
        <v>81</v>
      </c>
      <c r="F57" s="43" t="s">
        <v>271</v>
      </c>
      <c r="G57" s="134">
        <v>41985</v>
      </c>
      <c r="H57" s="43" t="s">
        <v>32</v>
      </c>
      <c r="I57" s="43" t="s">
        <v>612</v>
      </c>
      <c r="J57" s="142" t="s">
        <v>612</v>
      </c>
      <c r="K57" s="142" t="s">
        <v>612</v>
      </c>
      <c r="L57" s="142" t="s">
        <v>612</v>
      </c>
      <c r="M57" s="146">
        <v>0</v>
      </c>
      <c r="N57" s="143">
        <f t="shared" si="2"/>
        <v>0</v>
      </c>
      <c r="O57" s="43" t="s">
        <v>568</v>
      </c>
      <c r="P57" s="82">
        <v>2.4992779999999999</v>
      </c>
      <c r="Q57" s="157">
        <v>0</v>
      </c>
      <c r="R57" s="145" t="s">
        <v>612</v>
      </c>
      <c r="S57" s="145" t="s">
        <v>612</v>
      </c>
      <c r="T57" s="67">
        <f t="shared" si="0"/>
        <v>2.7200000000000002E-3</v>
      </c>
      <c r="U57" s="82">
        <v>0</v>
      </c>
      <c r="V57" s="82">
        <v>2.7200000000000002E-3</v>
      </c>
      <c r="W57" s="82">
        <f t="shared" si="1"/>
        <v>1.0883143051713337E-3</v>
      </c>
      <c r="X57" s="145" t="s">
        <v>49</v>
      </c>
      <c r="Z57" s="50">
        <f t="shared" si="3"/>
        <v>1.0883143051713337E-3</v>
      </c>
      <c r="AC57" s="43" t="s">
        <v>903</v>
      </c>
      <c r="AD57" s="43" t="s">
        <v>36</v>
      </c>
      <c r="AE57" s="43" t="s">
        <v>36</v>
      </c>
      <c r="AF57" s="43" t="s">
        <v>568</v>
      </c>
    </row>
    <row r="58" spans="2:32" x14ac:dyDescent="0.3">
      <c r="B58" s="4">
        <v>49</v>
      </c>
      <c r="C58" s="43" t="s">
        <v>770</v>
      </c>
      <c r="D58" s="43" t="s">
        <v>771</v>
      </c>
      <c r="E58" s="43" t="s">
        <v>30</v>
      </c>
      <c r="F58" s="43" t="s">
        <v>400</v>
      </c>
      <c r="G58" s="134">
        <v>40919</v>
      </c>
      <c r="H58" s="43" t="s">
        <v>32</v>
      </c>
      <c r="I58" s="43" t="s">
        <v>612</v>
      </c>
      <c r="J58" s="142">
        <v>45.529285000000002</v>
      </c>
      <c r="K58" s="142" t="s">
        <v>612</v>
      </c>
      <c r="L58" s="142" t="s">
        <v>612</v>
      </c>
      <c r="M58" s="146">
        <v>0</v>
      </c>
      <c r="N58" s="143">
        <f t="shared" si="2"/>
        <v>0</v>
      </c>
      <c r="O58" s="43" t="s">
        <v>568</v>
      </c>
      <c r="P58" s="82">
        <v>23.8005</v>
      </c>
      <c r="Q58" s="157">
        <v>0</v>
      </c>
      <c r="R58" s="145">
        <v>0.21964983849269903</v>
      </c>
      <c r="S58" s="145" t="s">
        <v>612</v>
      </c>
      <c r="T58" s="67">
        <f t="shared" si="0"/>
        <v>4.156E-3</v>
      </c>
      <c r="U58" s="82">
        <v>0</v>
      </c>
      <c r="V58" s="82">
        <v>4.156E-3</v>
      </c>
      <c r="W58" s="82">
        <f t="shared" si="1"/>
        <v>1.7461818029033003E-4</v>
      </c>
      <c r="X58" s="145" t="s">
        <v>49</v>
      </c>
      <c r="Z58" s="50">
        <f t="shared" si="3"/>
        <v>1.7461818029033003E-4</v>
      </c>
      <c r="AB58" s="43" t="s">
        <v>878</v>
      </c>
      <c r="AC58" s="43" t="s">
        <v>904</v>
      </c>
      <c r="AD58" s="43" t="s">
        <v>52</v>
      </c>
      <c r="AE58" s="43" t="s">
        <v>52</v>
      </c>
      <c r="AF58" s="43" t="s">
        <v>568</v>
      </c>
    </row>
    <row r="59" spans="2:32" x14ac:dyDescent="0.3">
      <c r="B59" s="4">
        <v>50</v>
      </c>
      <c r="C59" s="43" t="s">
        <v>772</v>
      </c>
      <c r="D59" s="43" t="s">
        <v>773</v>
      </c>
      <c r="E59" s="43" t="s">
        <v>81</v>
      </c>
      <c r="F59" s="43" t="s">
        <v>909</v>
      </c>
      <c r="G59" s="134">
        <v>41156</v>
      </c>
      <c r="H59" s="43" t="s">
        <v>32</v>
      </c>
      <c r="I59" s="43" t="s">
        <v>612</v>
      </c>
      <c r="J59" s="142">
        <v>100</v>
      </c>
      <c r="K59" s="142" t="s">
        <v>612</v>
      </c>
      <c r="L59" s="142" t="s">
        <v>612</v>
      </c>
      <c r="M59" s="146">
        <v>0</v>
      </c>
      <c r="N59" s="143">
        <f t="shared" si="2"/>
        <v>0</v>
      </c>
      <c r="O59" s="43" t="s">
        <v>568</v>
      </c>
      <c r="P59" s="82">
        <v>19.263849999999998</v>
      </c>
      <c r="Q59" s="157">
        <v>0</v>
      </c>
      <c r="R59" s="145">
        <v>0.125</v>
      </c>
      <c r="S59" s="145" t="s">
        <v>612</v>
      </c>
      <c r="T59" s="67">
        <f t="shared" si="0"/>
        <v>2.1440000000000001E-3</v>
      </c>
      <c r="U59" s="82">
        <v>0</v>
      </c>
      <c r="V59" s="82">
        <v>2.1440000000000001E-3</v>
      </c>
      <c r="W59" s="82">
        <f t="shared" si="1"/>
        <v>1.1129654767868314E-4</v>
      </c>
      <c r="X59" s="145" t="s">
        <v>49</v>
      </c>
      <c r="Z59" s="50">
        <f t="shared" si="3"/>
        <v>1.1129654767868314E-4</v>
      </c>
      <c r="AA59" s="43" t="s">
        <v>850</v>
      </c>
      <c r="AC59" s="43" t="s">
        <v>288</v>
      </c>
      <c r="AD59" s="43" t="s">
        <v>36</v>
      </c>
      <c r="AE59" s="43" t="s">
        <v>52</v>
      </c>
      <c r="AF59" s="43" t="s">
        <v>568</v>
      </c>
    </row>
    <row r="60" spans="2:32" x14ac:dyDescent="0.3">
      <c r="B60" s="4">
        <v>51</v>
      </c>
      <c r="C60" s="43" t="s">
        <v>774</v>
      </c>
      <c r="D60" s="43" t="s">
        <v>775</v>
      </c>
      <c r="E60" s="43" t="s">
        <v>30</v>
      </c>
      <c r="F60" s="43" t="s">
        <v>648</v>
      </c>
      <c r="G60" s="134">
        <v>40917</v>
      </c>
      <c r="H60" s="43" t="s">
        <v>32</v>
      </c>
      <c r="I60" s="43" t="s">
        <v>612</v>
      </c>
      <c r="J60" s="142">
        <v>67.5</v>
      </c>
      <c r="K60" s="142" t="s">
        <v>612</v>
      </c>
      <c r="L60" s="142" t="s">
        <v>612</v>
      </c>
      <c r="M60" s="146">
        <v>0</v>
      </c>
      <c r="N60" s="143">
        <f t="shared" si="2"/>
        <v>0</v>
      </c>
      <c r="O60" s="43" t="s">
        <v>568</v>
      </c>
      <c r="P60" s="82">
        <v>23.499874999999999</v>
      </c>
      <c r="Q60" s="157">
        <v>0</v>
      </c>
      <c r="R60" s="145">
        <v>0.17777777777777778</v>
      </c>
      <c r="S60" s="145" t="s">
        <v>612</v>
      </c>
      <c r="T60" s="67">
        <f t="shared" si="0"/>
        <v>2.37667E-3</v>
      </c>
      <c r="U60" s="82">
        <v>0</v>
      </c>
      <c r="V60" s="82">
        <v>2.37667E-3</v>
      </c>
      <c r="W60" s="82">
        <f t="shared" si="1"/>
        <v>1.0113543157144453E-4</v>
      </c>
      <c r="X60" s="145" t="s">
        <v>49</v>
      </c>
      <c r="Z60" s="50">
        <f t="shared" si="3"/>
        <v>1.0113543157144453E-4</v>
      </c>
      <c r="AA60" s="43" t="s">
        <v>851</v>
      </c>
      <c r="AC60" s="43" t="s">
        <v>900</v>
      </c>
      <c r="AD60" s="43" t="s">
        <v>36</v>
      </c>
      <c r="AE60" s="43" t="s">
        <v>36</v>
      </c>
      <c r="AF60" s="43" t="s">
        <v>568</v>
      </c>
    </row>
    <row r="61" spans="2:32" x14ac:dyDescent="0.3">
      <c r="B61" s="4">
        <v>52</v>
      </c>
      <c r="C61" s="43" t="s">
        <v>776</v>
      </c>
      <c r="D61" s="43" t="s">
        <v>777</v>
      </c>
      <c r="E61" s="43" t="s">
        <v>348</v>
      </c>
      <c r="F61" s="43" t="s">
        <v>55</v>
      </c>
      <c r="G61" s="134">
        <v>41239</v>
      </c>
      <c r="H61" s="43" t="s">
        <v>32</v>
      </c>
      <c r="I61" s="43" t="s">
        <v>612</v>
      </c>
      <c r="J61" s="142">
        <v>120</v>
      </c>
      <c r="K61" s="142" t="s">
        <v>612</v>
      </c>
      <c r="L61" s="142" t="s">
        <v>612</v>
      </c>
      <c r="M61" s="146">
        <v>0</v>
      </c>
      <c r="N61" s="143">
        <f t="shared" si="2"/>
        <v>0</v>
      </c>
      <c r="O61" s="43" t="s">
        <v>568</v>
      </c>
      <c r="P61" s="82">
        <v>10.000500000000001</v>
      </c>
      <c r="Q61" s="157">
        <v>0</v>
      </c>
      <c r="R61" s="145">
        <v>8.3337500000000009E-2</v>
      </c>
      <c r="S61" s="145" t="s">
        <v>612</v>
      </c>
      <c r="T61" s="67">
        <f t="shared" si="0"/>
        <v>6.6699999999999995E-4</v>
      </c>
      <c r="U61" s="82">
        <v>0</v>
      </c>
      <c r="V61" s="82">
        <v>6.6699999999999995E-4</v>
      </c>
      <c r="W61" s="82">
        <f t="shared" si="1"/>
        <v>6.669666516674166E-5</v>
      </c>
      <c r="X61" s="145" t="s">
        <v>49</v>
      </c>
      <c r="Z61" s="50">
        <f t="shared" si="3"/>
        <v>6.669666516674166E-5</v>
      </c>
      <c r="AB61" s="43" t="s">
        <v>879</v>
      </c>
      <c r="AC61" s="43" t="s">
        <v>51</v>
      </c>
      <c r="AD61" s="43" t="s">
        <v>36</v>
      </c>
      <c r="AE61" s="43" t="s">
        <v>36</v>
      </c>
      <c r="AF61" s="43" t="s">
        <v>568</v>
      </c>
    </row>
    <row r="62" spans="2:32" x14ac:dyDescent="0.3">
      <c r="B62" s="4">
        <v>53</v>
      </c>
      <c r="C62" s="43" t="s">
        <v>778</v>
      </c>
      <c r="D62" s="43" t="s">
        <v>779</v>
      </c>
      <c r="E62" s="43" t="s">
        <v>81</v>
      </c>
      <c r="F62" s="43" t="s">
        <v>213</v>
      </c>
      <c r="G62" s="134">
        <v>40667</v>
      </c>
      <c r="H62" s="43" t="s">
        <v>32</v>
      </c>
      <c r="I62" s="43" t="s">
        <v>612</v>
      </c>
      <c r="J62" s="142">
        <v>50</v>
      </c>
      <c r="K62" s="142" t="s">
        <v>612</v>
      </c>
      <c r="L62" s="142" t="s">
        <v>612</v>
      </c>
      <c r="M62" s="146">
        <v>0</v>
      </c>
      <c r="N62" s="143">
        <f t="shared" si="2"/>
        <v>0</v>
      </c>
      <c r="O62" s="43" t="s">
        <v>568</v>
      </c>
      <c r="P62" s="82">
        <v>6.5</v>
      </c>
      <c r="Q62" s="157">
        <v>0</v>
      </c>
      <c r="R62" s="145">
        <v>0.16250000000000001</v>
      </c>
      <c r="S62" s="145" t="s">
        <v>612</v>
      </c>
      <c r="T62" s="67">
        <f t="shared" si="0"/>
        <v>2.7500000000000002E-4</v>
      </c>
      <c r="U62" s="82">
        <v>0</v>
      </c>
      <c r="V62" s="82">
        <v>2.7500000000000002E-4</v>
      </c>
      <c r="W62" s="82">
        <f t="shared" si="1"/>
        <v>4.2307692307692307E-5</v>
      </c>
      <c r="X62" s="145" t="s">
        <v>49</v>
      </c>
      <c r="Z62" s="50">
        <f t="shared" si="3"/>
        <v>4.2307692307692307E-5</v>
      </c>
      <c r="AC62" s="43" t="s">
        <v>891</v>
      </c>
      <c r="AD62" s="43" t="s">
        <v>69</v>
      </c>
      <c r="AE62" s="43" t="s">
        <v>107</v>
      </c>
      <c r="AF62" s="43" t="s">
        <v>568</v>
      </c>
    </row>
    <row r="63" spans="2:32" x14ac:dyDescent="0.3">
      <c r="B63" s="4">
        <v>54</v>
      </c>
      <c r="C63" s="43" t="s">
        <v>780</v>
      </c>
      <c r="D63" s="43" t="s">
        <v>781</v>
      </c>
      <c r="E63" s="43" t="s">
        <v>30</v>
      </c>
      <c r="F63" s="43" t="s">
        <v>86</v>
      </c>
      <c r="G63" s="134">
        <v>41003</v>
      </c>
      <c r="H63" s="43" t="s">
        <v>32</v>
      </c>
      <c r="I63" s="43" t="s">
        <v>612</v>
      </c>
      <c r="J63" s="142">
        <v>111.33519200000001</v>
      </c>
      <c r="K63" s="142" t="s">
        <v>612</v>
      </c>
      <c r="L63" s="142" t="s">
        <v>612</v>
      </c>
      <c r="M63" s="146">
        <v>0</v>
      </c>
      <c r="N63" s="143">
        <f t="shared" si="2"/>
        <v>0</v>
      </c>
      <c r="O63" s="43" t="s">
        <v>568</v>
      </c>
      <c r="P63" s="82">
        <v>6.0540000000000003</v>
      </c>
      <c r="Q63" s="157">
        <v>0</v>
      </c>
      <c r="R63" s="145">
        <v>5.4393530997304582E-2</v>
      </c>
      <c r="S63" s="145" t="s">
        <v>612</v>
      </c>
      <c r="T63" s="67">
        <f t="shared" si="0"/>
        <v>1.01E-4</v>
      </c>
      <c r="U63" s="82">
        <v>0</v>
      </c>
      <c r="V63" s="82">
        <v>1.01E-4</v>
      </c>
      <c r="W63" s="82">
        <f t="shared" si="1"/>
        <v>1.6683184671291706E-5</v>
      </c>
      <c r="X63" s="145" t="s">
        <v>49</v>
      </c>
      <c r="Z63" s="50">
        <f t="shared" si="3"/>
        <v>1.6683184671291706E-5</v>
      </c>
      <c r="AA63" s="43" t="s">
        <v>840</v>
      </c>
      <c r="AB63" s="43" t="s">
        <v>872</v>
      </c>
      <c r="AC63" s="43" t="s">
        <v>899</v>
      </c>
      <c r="AD63" s="43" t="s">
        <v>69</v>
      </c>
      <c r="AE63" s="43" t="s">
        <v>69</v>
      </c>
      <c r="AF63" s="43" t="s">
        <v>568</v>
      </c>
    </row>
    <row r="64" spans="2:32" x14ac:dyDescent="0.3">
      <c r="B64" s="4">
        <v>55</v>
      </c>
      <c r="C64" s="43" t="s">
        <v>782</v>
      </c>
      <c r="D64" s="43" t="s">
        <v>782</v>
      </c>
      <c r="E64" s="43" t="s">
        <v>30</v>
      </c>
      <c r="F64" s="43" t="s">
        <v>271</v>
      </c>
      <c r="G64" s="134">
        <v>41085</v>
      </c>
      <c r="H64" s="43" t="s">
        <v>32</v>
      </c>
      <c r="I64" s="43" t="s">
        <v>612</v>
      </c>
      <c r="J64" s="142">
        <v>33.299999999999997</v>
      </c>
      <c r="K64" s="142" t="s">
        <v>612</v>
      </c>
      <c r="L64" s="142" t="s">
        <v>612</v>
      </c>
      <c r="M64" s="146">
        <v>0</v>
      </c>
      <c r="N64" s="143">
        <f t="shared" si="2"/>
        <v>0</v>
      </c>
      <c r="O64" s="43" t="s">
        <v>568</v>
      </c>
      <c r="P64" s="82">
        <v>5</v>
      </c>
      <c r="Q64" s="157">
        <v>0</v>
      </c>
      <c r="R64" s="145">
        <v>7.5075075075075076E-2</v>
      </c>
      <c r="S64" s="145" t="s">
        <v>612</v>
      </c>
      <c r="T64" s="67">
        <f t="shared" si="0"/>
        <v>5.2370000000000003E-3</v>
      </c>
      <c r="U64" s="82">
        <v>0</v>
      </c>
      <c r="V64" s="82">
        <v>5.2370000000000003E-3</v>
      </c>
      <c r="W64" s="82">
        <f t="shared" si="1"/>
        <v>1.0474E-3</v>
      </c>
      <c r="X64" s="145" t="s">
        <v>49</v>
      </c>
      <c r="Z64" s="50">
        <f t="shared" si="3"/>
        <v>1.0474E-3</v>
      </c>
      <c r="AB64" s="43" t="s">
        <v>880</v>
      </c>
      <c r="AC64" s="43" t="s">
        <v>899</v>
      </c>
      <c r="AD64" s="43" t="s">
        <v>36</v>
      </c>
      <c r="AE64" s="43" t="s">
        <v>36</v>
      </c>
      <c r="AF64" s="43" t="s">
        <v>568</v>
      </c>
    </row>
    <row r="65" spans="2:32" x14ac:dyDescent="0.3">
      <c r="B65" s="4">
        <v>56</v>
      </c>
      <c r="C65" s="43" t="s">
        <v>783</v>
      </c>
      <c r="D65" s="43" t="s">
        <v>784</v>
      </c>
      <c r="E65" s="43" t="s">
        <v>30</v>
      </c>
      <c r="F65" s="43" t="s">
        <v>182</v>
      </c>
      <c r="G65" s="134">
        <v>41585</v>
      </c>
      <c r="H65" s="43" t="s">
        <v>32</v>
      </c>
      <c r="I65" s="43" t="s">
        <v>612</v>
      </c>
      <c r="J65" s="142">
        <v>210</v>
      </c>
      <c r="K65" s="142" t="s">
        <v>612</v>
      </c>
      <c r="L65" s="142" t="s">
        <v>612</v>
      </c>
      <c r="M65" s="146">
        <v>0</v>
      </c>
      <c r="N65" s="143">
        <f t="shared" si="2"/>
        <v>0</v>
      </c>
      <c r="O65" s="43" t="s">
        <v>568</v>
      </c>
      <c r="P65" s="82">
        <v>10.5</v>
      </c>
      <c r="Q65" s="157">
        <v>0</v>
      </c>
      <c r="R65" s="145">
        <v>4.5000000000000005E-2</v>
      </c>
      <c r="S65" s="145" t="s">
        <v>612</v>
      </c>
      <c r="T65" s="67">
        <f t="shared" si="0"/>
        <v>0</v>
      </c>
      <c r="U65" s="82">
        <v>0</v>
      </c>
      <c r="V65" s="82">
        <v>0</v>
      </c>
      <c r="W65" s="82">
        <f t="shared" si="1"/>
        <v>0</v>
      </c>
      <c r="X65" s="145" t="s">
        <v>49</v>
      </c>
      <c r="Z65" s="50"/>
      <c r="AB65" s="43" t="s">
        <v>881</v>
      </c>
      <c r="AC65" s="43" t="s">
        <v>438</v>
      </c>
      <c r="AD65" s="43" t="s">
        <v>36</v>
      </c>
      <c r="AE65" s="43" t="s">
        <v>36</v>
      </c>
      <c r="AF65" s="43" t="s">
        <v>568</v>
      </c>
    </row>
    <row r="66" spans="2:32" x14ac:dyDescent="0.3">
      <c r="B66" s="4">
        <v>57</v>
      </c>
      <c r="C66" s="43" t="s">
        <v>785</v>
      </c>
      <c r="D66" s="43" t="s">
        <v>786</v>
      </c>
      <c r="E66" s="43" t="s">
        <v>30</v>
      </c>
      <c r="F66" s="43" t="s">
        <v>400</v>
      </c>
      <c r="G66" s="134">
        <v>41096</v>
      </c>
      <c r="H66" s="43" t="s">
        <v>32</v>
      </c>
      <c r="I66" s="43" t="s">
        <v>612</v>
      </c>
      <c r="J66" s="142">
        <v>40</v>
      </c>
      <c r="K66" s="142" t="s">
        <v>612</v>
      </c>
      <c r="L66" s="142" t="s">
        <v>612</v>
      </c>
      <c r="M66" s="146">
        <v>0</v>
      </c>
      <c r="N66" s="143">
        <f t="shared" si="2"/>
        <v>0</v>
      </c>
      <c r="O66" s="43" t="s">
        <v>568</v>
      </c>
      <c r="P66" s="82">
        <v>4.1500000000000004</v>
      </c>
      <c r="Q66" s="157">
        <v>0</v>
      </c>
      <c r="R66" s="145">
        <v>6.25E-2</v>
      </c>
      <c r="S66" s="145" t="s">
        <v>612</v>
      </c>
      <c r="T66" s="67">
        <f t="shared" si="0"/>
        <v>1.1739999999999999E-3</v>
      </c>
      <c r="U66" s="82">
        <v>0</v>
      </c>
      <c r="V66" s="82">
        <v>1.1739999999999999E-3</v>
      </c>
      <c r="W66" s="82">
        <f t="shared" si="1"/>
        <v>2.8289156626506019E-4</v>
      </c>
      <c r="X66" s="145" t="s">
        <v>49</v>
      </c>
      <c r="Z66" s="50">
        <f t="shared" si="3"/>
        <v>2.8289156626506019E-4</v>
      </c>
      <c r="AB66" s="43" t="s">
        <v>923</v>
      </c>
      <c r="AC66" s="43" t="s">
        <v>905</v>
      </c>
      <c r="AD66" s="43" t="s">
        <v>36</v>
      </c>
      <c r="AE66" s="43" t="s">
        <v>36</v>
      </c>
      <c r="AF66" s="43" t="s">
        <v>568</v>
      </c>
    </row>
    <row r="67" spans="2:32" x14ac:dyDescent="0.3">
      <c r="B67" s="4">
        <v>58</v>
      </c>
      <c r="C67" s="43" t="s">
        <v>787</v>
      </c>
      <c r="D67" s="43" t="s">
        <v>788</v>
      </c>
      <c r="E67" s="43" t="s">
        <v>63</v>
      </c>
      <c r="F67" s="43" t="s">
        <v>911</v>
      </c>
      <c r="G67" s="134">
        <v>41604</v>
      </c>
      <c r="H67" s="43" t="s">
        <v>32</v>
      </c>
      <c r="I67" s="43" t="s">
        <v>111</v>
      </c>
      <c r="J67" s="142">
        <v>1083.1349408912943</v>
      </c>
      <c r="K67" s="142">
        <v>1272.25</v>
      </c>
      <c r="L67" s="142">
        <f>K67</f>
        <v>1272.25</v>
      </c>
      <c r="M67" s="144">
        <v>1</v>
      </c>
      <c r="N67" s="143">
        <f>L67*(1-M67)</f>
        <v>0</v>
      </c>
      <c r="O67" s="43" t="s">
        <v>650</v>
      </c>
      <c r="P67" s="82">
        <v>10.700000000000001</v>
      </c>
      <c r="Q67" s="157">
        <v>0</v>
      </c>
      <c r="R67" s="145">
        <v>3.2851309447054132E-2</v>
      </c>
      <c r="S67" s="145">
        <v>1.9712355077381172E-2</v>
      </c>
      <c r="T67" s="67">
        <f t="shared" si="0"/>
        <v>0</v>
      </c>
      <c r="U67" s="82">
        <v>0</v>
      </c>
      <c r="V67" s="82">
        <v>0</v>
      </c>
      <c r="W67" s="82">
        <f t="shared" si="1"/>
        <v>0</v>
      </c>
      <c r="X67" s="145" t="s">
        <v>49</v>
      </c>
      <c r="Z67" s="50"/>
      <c r="AB67" s="43" t="s">
        <v>924</v>
      </c>
      <c r="AC67" s="43" t="s">
        <v>906</v>
      </c>
      <c r="AD67" s="43" t="s">
        <v>36</v>
      </c>
      <c r="AE67" s="43" t="s">
        <v>36</v>
      </c>
      <c r="AF67" s="43" t="s">
        <v>552</v>
      </c>
    </row>
    <row r="68" spans="2:32" x14ac:dyDescent="0.3">
      <c r="B68" s="4">
        <v>59</v>
      </c>
      <c r="C68" s="43" t="s">
        <v>789</v>
      </c>
      <c r="D68" s="43" t="s">
        <v>790</v>
      </c>
      <c r="E68" s="43" t="s">
        <v>39</v>
      </c>
      <c r="F68" s="43" t="s">
        <v>791</v>
      </c>
      <c r="G68" s="134">
        <v>41298</v>
      </c>
      <c r="H68" s="43" t="s">
        <v>32</v>
      </c>
      <c r="I68" s="43" t="s">
        <v>57</v>
      </c>
      <c r="J68" s="142">
        <v>122.504335</v>
      </c>
      <c r="K68" s="142">
        <v>251.53551200000001</v>
      </c>
      <c r="L68" s="142">
        <f>K68</f>
        <v>251.53551200000001</v>
      </c>
      <c r="M68" s="144">
        <v>1</v>
      </c>
      <c r="N68" s="143">
        <f>L68*(1-M68)</f>
        <v>0</v>
      </c>
      <c r="O68" s="43" t="s">
        <v>650</v>
      </c>
      <c r="P68" s="82">
        <v>13.000000000000004</v>
      </c>
      <c r="Q68" s="157">
        <v>0</v>
      </c>
      <c r="R68" s="145">
        <v>2.447810520337913E-2</v>
      </c>
      <c r="S68" s="145">
        <v>5.7276884263639229E-2</v>
      </c>
      <c r="T68" s="67">
        <f t="shared" si="0"/>
        <v>0</v>
      </c>
      <c r="U68" s="82">
        <v>0</v>
      </c>
      <c r="V68" s="82">
        <v>0</v>
      </c>
      <c r="W68" s="82">
        <f t="shared" si="1"/>
        <v>0</v>
      </c>
      <c r="X68" s="145" t="s">
        <v>49</v>
      </c>
      <c r="Z68" s="50"/>
      <c r="AA68" s="43" t="s">
        <v>852</v>
      </c>
      <c r="AB68" s="43" t="s">
        <v>882</v>
      </c>
      <c r="AC68" s="43" t="s">
        <v>274</v>
      </c>
      <c r="AD68" s="43" t="s">
        <v>36</v>
      </c>
      <c r="AE68" s="43" t="s">
        <v>69</v>
      </c>
      <c r="AF68" s="43" t="s">
        <v>552</v>
      </c>
    </row>
    <row r="69" spans="2:32" x14ac:dyDescent="0.3">
      <c r="B69" s="4">
        <v>60</v>
      </c>
      <c r="C69" s="43" t="s">
        <v>792</v>
      </c>
      <c r="D69" s="43" t="s">
        <v>793</v>
      </c>
      <c r="E69" s="43" t="s">
        <v>81</v>
      </c>
      <c r="F69" s="43" t="s">
        <v>271</v>
      </c>
      <c r="G69" s="134">
        <v>41502</v>
      </c>
      <c r="H69" s="43" t="s">
        <v>32</v>
      </c>
      <c r="I69" s="43" t="s">
        <v>364</v>
      </c>
      <c r="J69" s="142">
        <v>187.5</v>
      </c>
      <c r="K69" s="142">
        <v>256.49966668888737</v>
      </c>
      <c r="L69" s="142">
        <f>K69</f>
        <v>256.49966668888737</v>
      </c>
      <c r="M69" s="144">
        <v>1</v>
      </c>
      <c r="N69" s="143">
        <f>L69*(1-M69)</f>
        <v>0</v>
      </c>
      <c r="O69" s="43" t="s">
        <v>650</v>
      </c>
      <c r="P69" s="82">
        <v>13.900000000000002</v>
      </c>
      <c r="Q69" s="157">
        <v>0</v>
      </c>
      <c r="R69" s="145">
        <v>4.2768719999999996E-2</v>
      </c>
      <c r="S69" s="145">
        <v>5.16E-2</v>
      </c>
      <c r="T69" s="67">
        <f t="shared" ref="T69:T82" si="4">U69+V69</f>
        <v>0</v>
      </c>
      <c r="U69" s="82">
        <v>0</v>
      </c>
      <c r="V69" s="82">
        <v>0</v>
      </c>
      <c r="W69" s="82">
        <f t="shared" ref="W69:W82" si="5">T69/P69</f>
        <v>0</v>
      </c>
      <c r="X69" s="145" t="s">
        <v>49</v>
      </c>
      <c r="Z69" s="50"/>
      <c r="AA69" s="43" t="s">
        <v>853</v>
      </c>
      <c r="AB69" s="43" t="s">
        <v>883</v>
      </c>
      <c r="AC69" s="43" t="s">
        <v>274</v>
      </c>
      <c r="AD69" s="43" t="s">
        <v>36</v>
      </c>
      <c r="AE69" s="43" t="s">
        <v>107</v>
      </c>
      <c r="AF69" s="43" t="s">
        <v>552</v>
      </c>
    </row>
    <row r="70" spans="2:32" x14ac:dyDescent="0.3">
      <c r="B70" s="4">
        <v>61</v>
      </c>
      <c r="C70" s="43" t="s">
        <v>794</v>
      </c>
      <c r="D70" s="43" t="s">
        <v>795</v>
      </c>
      <c r="E70" s="43" t="s">
        <v>92</v>
      </c>
      <c r="F70" s="43" t="s">
        <v>86</v>
      </c>
      <c r="G70" s="134">
        <v>41888</v>
      </c>
      <c r="H70" s="43" t="s">
        <v>32</v>
      </c>
      <c r="I70" s="43" t="s">
        <v>32</v>
      </c>
      <c r="J70" s="142">
        <v>17.886648779999998</v>
      </c>
      <c r="K70" s="142">
        <v>17.886648779999998</v>
      </c>
      <c r="L70" s="142">
        <f>K70</f>
        <v>17.886648779999998</v>
      </c>
      <c r="M70" s="144">
        <v>1</v>
      </c>
      <c r="N70" s="143">
        <f>L70*(1-M70)</f>
        <v>0</v>
      </c>
      <c r="O70" s="43" t="s">
        <v>650</v>
      </c>
      <c r="P70" s="82">
        <v>0.75</v>
      </c>
      <c r="Q70" s="157">
        <v>0</v>
      </c>
      <c r="R70" s="145">
        <v>3.7692637692637691E-2</v>
      </c>
      <c r="S70" s="145"/>
      <c r="T70" s="67">
        <f t="shared" si="4"/>
        <v>0</v>
      </c>
      <c r="U70" s="82">
        <v>0</v>
      </c>
      <c r="V70" s="82">
        <v>0</v>
      </c>
      <c r="W70" s="82">
        <f t="shared" si="5"/>
        <v>0</v>
      </c>
      <c r="X70" s="145" t="s">
        <v>49</v>
      </c>
      <c r="Z70" s="50"/>
      <c r="AC70" s="43" t="s">
        <v>438</v>
      </c>
      <c r="AD70" s="43" t="s">
        <v>36</v>
      </c>
      <c r="AE70" s="43" t="s">
        <v>36</v>
      </c>
      <c r="AF70" s="43" t="s">
        <v>552</v>
      </c>
    </row>
    <row r="71" spans="2:32" x14ac:dyDescent="0.3">
      <c r="B71" s="4">
        <v>62</v>
      </c>
      <c r="C71" s="43" t="s">
        <v>796</v>
      </c>
      <c r="D71" s="43" t="s">
        <v>797</v>
      </c>
      <c r="E71" s="43" t="s">
        <v>30</v>
      </c>
      <c r="F71" s="43" t="s">
        <v>911</v>
      </c>
      <c r="G71" s="134">
        <v>40780</v>
      </c>
      <c r="H71" s="43" t="s">
        <v>32</v>
      </c>
      <c r="I71" s="43" t="s">
        <v>612</v>
      </c>
      <c r="J71" s="142">
        <v>77.330801800000003</v>
      </c>
      <c r="K71" s="142" t="s">
        <v>612</v>
      </c>
      <c r="L71" s="142" t="s">
        <v>612</v>
      </c>
      <c r="M71" s="146">
        <v>0</v>
      </c>
      <c r="N71" s="143">
        <f t="shared" ref="N71:N79" si="6">M71</f>
        <v>0</v>
      </c>
      <c r="O71" s="43" t="s">
        <v>97</v>
      </c>
      <c r="P71" s="82">
        <v>12.3</v>
      </c>
      <c r="Q71" s="157">
        <v>0</v>
      </c>
      <c r="R71" s="145">
        <v>2.5890800956752214E-2</v>
      </c>
      <c r="S71" s="145" t="s">
        <v>612</v>
      </c>
      <c r="T71" s="67">
        <f t="shared" si="4"/>
        <v>300.71140943</v>
      </c>
      <c r="U71" s="82">
        <v>0</v>
      </c>
      <c r="V71" s="82">
        <v>300.71140943</v>
      </c>
      <c r="W71" s="82">
        <f t="shared" si="5"/>
        <v>24.448082067479675</v>
      </c>
      <c r="X71" s="145">
        <v>0.34608935713768008</v>
      </c>
      <c r="Y71" s="43" t="s">
        <v>917</v>
      </c>
      <c r="Z71" s="50">
        <f t="shared" ref="Z71:Z82" si="7">V71/P71</f>
        <v>24.448082067479675</v>
      </c>
      <c r="AA71" s="43" t="s">
        <v>854</v>
      </c>
      <c r="AB71" s="43" t="s">
        <v>884</v>
      </c>
      <c r="AC71" s="43" t="s">
        <v>274</v>
      </c>
      <c r="AD71" s="43" t="s">
        <v>36</v>
      </c>
      <c r="AE71" s="43" t="s">
        <v>36</v>
      </c>
      <c r="AF71" s="43" t="s">
        <v>461</v>
      </c>
    </row>
    <row r="72" spans="2:32" x14ac:dyDescent="0.3">
      <c r="B72" s="4">
        <v>63</v>
      </c>
      <c r="C72" s="43" t="s">
        <v>798</v>
      </c>
      <c r="D72" s="43" t="s">
        <v>799</v>
      </c>
      <c r="E72" s="43" t="s">
        <v>39</v>
      </c>
      <c r="F72" s="43" t="s">
        <v>791</v>
      </c>
      <c r="G72" s="134">
        <v>41428</v>
      </c>
      <c r="H72" s="43" t="s">
        <v>32</v>
      </c>
      <c r="I72" s="43" t="s">
        <v>612</v>
      </c>
      <c r="J72" s="142">
        <v>80</v>
      </c>
      <c r="K72" s="142" t="s">
        <v>612</v>
      </c>
      <c r="L72" s="142" t="s">
        <v>612</v>
      </c>
      <c r="M72" s="146">
        <v>0</v>
      </c>
      <c r="N72" s="143">
        <f t="shared" si="6"/>
        <v>0</v>
      </c>
      <c r="O72" s="43" t="s">
        <v>97</v>
      </c>
      <c r="P72" s="82">
        <v>7.9999999999999991</v>
      </c>
      <c r="Q72" s="157">
        <v>0</v>
      </c>
      <c r="R72" s="145">
        <v>0.1</v>
      </c>
      <c r="S72" s="145" t="s">
        <v>612</v>
      </c>
      <c r="T72" s="67">
        <f t="shared" si="4"/>
        <v>101.35617142999999</v>
      </c>
      <c r="U72" s="82">
        <v>0</v>
      </c>
      <c r="V72" s="82">
        <v>101.35617142999999</v>
      </c>
      <c r="W72" s="82">
        <f t="shared" si="5"/>
        <v>12.66952142875</v>
      </c>
      <c r="X72" s="145">
        <v>0.29564655423164377</v>
      </c>
      <c r="Y72" s="43" t="s">
        <v>918</v>
      </c>
      <c r="Z72" s="50">
        <f t="shared" si="7"/>
        <v>12.66952142875</v>
      </c>
      <c r="AA72" s="43" t="s">
        <v>855</v>
      </c>
      <c r="AC72" s="43" t="s">
        <v>907</v>
      </c>
      <c r="AD72" s="43" t="s">
        <v>36</v>
      </c>
      <c r="AE72" s="43" t="s">
        <v>43</v>
      </c>
      <c r="AF72" s="43" t="s">
        <v>461</v>
      </c>
    </row>
    <row r="73" spans="2:32" x14ac:dyDescent="0.3">
      <c r="B73" s="4">
        <v>64</v>
      </c>
      <c r="C73" s="43" t="s">
        <v>800</v>
      </c>
      <c r="D73" s="43" t="s">
        <v>801</v>
      </c>
      <c r="E73" s="43" t="s">
        <v>30</v>
      </c>
      <c r="F73" s="43" t="s">
        <v>791</v>
      </c>
      <c r="G73" s="134">
        <v>41323</v>
      </c>
      <c r="H73" s="43" t="s">
        <v>32</v>
      </c>
      <c r="I73" s="43" t="s">
        <v>32</v>
      </c>
      <c r="J73" s="142">
        <v>32.25</v>
      </c>
      <c r="K73" s="142">
        <v>32.25</v>
      </c>
      <c r="L73" s="142">
        <f>K73</f>
        <v>32.25</v>
      </c>
      <c r="M73" s="144">
        <v>1</v>
      </c>
      <c r="N73" s="143">
        <f>L73*(1-M73)</f>
        <v>0</v>
      </c>
      <c r="O73" s="43" t="s">
        <v>650</v>
      </c>
      <c r="P73" s="82">
        <v>11.799999999999999</v>
      </c>
      <c r="Q73" s="157">
        <v>0</v>
      </c>
      <c r="R73" s="145">
        <v>6.9767441860465115E-2</v>
      </c>
      <c r="S73" s="145"/>
      <c r="T73" s="67">
        <f t="shared" si="4"/>
        <v>0</v>
      </c>
      <c r="U73" s="82">
        <v>0</v>
      </c>
      <c r="V73" s="82">
        <v>0</v>
      </c>
      <c r="W73" s="82">
        <f t="shared" si="5"/>
        <v>0</v>
      </c>
      <c r="X73" s="145" t="s">
        <v>49</v>
      </c>
      <c r="Z73" s="50"/>
      <c r="AA73" s="43" t="s">
        <v>856</v>
      </c>
      <c r="AC73" s="43" t="s">
        <v>274</v>
      </c>
      <c r="AD73" s="43" t="s">
        <v>107</v>
      </c>
      <c r="AE73" s="43" t="s">
        <v>107</v>
      </c>
      <c r="AF73" s="43" t="s">
        <v>552</v>
      </c>
    </row>
    <row r="74" spans="2:32" x14ac:dyDescent="0.3">
      <c r="B74" s="4">
        <v>65</v>
      </c>
      <c r="C74" s="43" t="s">
        <v>802</v>
      </c>
      <c r="D74" s="43" t="s">
        <v>803</v>
      </c>
      <c r="E74" s="43" t="s">
        <v>81</v>
      </c>
      <c r="F74" s="43" t="s">
        <v>909</v>
      </c>
      <c r="G74" s="134">
        <v>41417</v>
      </c>
      <c r="H74" s="43" t="s">
        <v>32</v>
      </c>
      <c r="I74" s="43" t="s">
        <v>612</v>
      </c>
      <c r="J74" s="142">
        <v>276.38841897879701</v>
      </c>
      <c r="K74" s="142">
        <v>619.75</v>
      </c>
      <c r="L74" s="142">
        <f>K74</f>
        <v>619.75</v>
      </c>
      <c r="M74" s="144">
        <v>1</v>
      </c>
      <c r="N74" s="143">
        <f>L74*(1-M74)</f>
        <v>0</v>
      </c>
      <c r="O74" s="43" t="s">
        <v>650</v>
      </c>
      <c r="P74" s="82">
        <v>53.016538999999995</v>
      </c>
      <c r="Q74" s="157">
        <v>0</v>
      </c>
      <c r="R74" s="145">
        <v>0.125</v>
      </c>
      <c r="S74" s="145">
        <v>0.14138401034147677</v>
      </c>
      <c r="T74" s="67">
        <f t="shared" si="4"/>
        <v>1.4767590000000004</v>
      </c>
      <c r="U74" s="82">
        <v>0</v>
      </c>
      <c r="V74" s="82">
        <v>1.4767590000000004</v>
      </c>
      <c r="W74" s="82">
        <f t="shared" si="5"/>
        <v>2.7854685120052829E-2</v>
      </c>
      <c r="X74" s="145" t="s">
        <v>49</v>
      </c>
      <c r="Z74" s="50">
        <f t="shared" si="7"/>
        <v>2.7854685120052829E-2</v>
      </c>
      <c r="AA74" s="43" t="s">
        <v>857</v>
      </c>
      <c r="AC74" s="43" t="s">
        <v>281</v>
      </c>
      <c r="AD74" s="43" t="s">
        <v>36</v>
      </c>
      <c r="AE74" s="43" t="s">
        <v>60</v>
      </c>
      <c r="AF74" s="43" t="s">
        <v>552</v>
      </c>
    </row>
    <row r="75" spans="2:32" x14ac:dyDescent="0.3">
      <c r="B75" s="4">
        <v>66</v>
      </c>
      <c r="C75" s="43" t="s">
        <v>804</v>
      </c>
      <c r="D75" s="43" t="s">
        <v>805</v>
      </c>
      <c r="E75" s="43" t="s">
        <v>30</v>
      </c>
      <c r="F75" s="43" t="s">
        <v>711</v>
      </c>
      <c r="G75" s="134">
        <v>40780</v>
      </c>
      <c r="H75" s="43" t="s">
        <v>32</v>
      </c>
      <c r="I75" s="43" t="s">
        <v>32</v>
      </c>
      <c r="J75" s="142">
        <v>33</v>
      </c>
      <c r="K75" s="142">
        <v>33</v>
      </c>
      <c r="L75" s="142">
        <f>K75</f>
        <v>33</v>
      </c>
      <c r="M75" s="144">
        <v>1</v>
      </c>
      <c r="N75" s="143">
        <f>L75*(1-M75)</f>
        <v>0</v>
      </c>
      <c r="O75" s="43" t="s">
        <v>650</v>
      </c>
      <c r="P75" s="82">
        <v>2.2399999999999998</v>
      </c>
      <c r="Q75" s="157">
        <v>0</v>
      </c>
      <c r="R75" s="145">
        <v>6.6666666666666666E-2</v>
      </c>
      <c r="S75" s="145"/>
      <c r="T75" s="67">
        <f t="shared" si="4"/>
        <v>0</v>
      </c>
      <c r="U75" s="82">
        <v>0</v>
      </c>
      <c r="V75" s="82">
        <v>0</v>
      </c>
      <c r="W75" s="82">
        <f t="shared" si="5"/>
        <v>0</v>
      </c>
      <c r="X75" s="145" t="s">
        <v>49</v>
      </c>
      <c r="Z75" s="50"/>
      <c r="AB75" s="43" t="s">
        <v>885</v>
      </c>
      <c r="AC75" s="43" t="s">
        <v>274</v>
      </c>
      <c r="AD75" s="43" t="s">
        <v>36</v>
      </c>
      <c r="AE75" s="43" t="s">
        <v>36</v>
      </c>
      <c r="AF75" s="43" t="s">
        <v>552</v>
      </c>
    </row>
    <row r="76" spans="2:32" x14ac:dyDescent="0.3">
      <c r="B76" s="4">
        <v>67</v>
      </c>
      <c r="C76" s="43" t="s">
        <v>643</v>
      </c>
      <c r="D76" s="43" t="s">
        <v>644</v>
      </c>
      <c r="E76" s="43" t="s">
        <v>81</v>
      </c>
      <c r="F76" s="43" t="s">
        <v>127</v>
      </c>
      <c r="G76" s="134">
        <v>41142</v>
      </c>
      <c r="H76" s="43" t="s">
        <v>32</v>
      </c>
      <c r="I76" s="43" t="s">
        <v>612</v>
      </c>
      <c r="J76" s="142">
        <v>90</v>
      </c>
      <c r="K76" s="142" t="s">
        <v>612</v>
      </c>
      <c r="L76" s="142" t="s">
        <v>612</v>
      </c>
      <c r="M76" s="146">
        <v>0</v>
      </c>
      <c r="N76" s="143">
        <f t="shared" si="6"/>
        <v>0</v>
      </c>
      <c r="O76" s="43" t="s">
        <v>568</v>
      </c>
      <c r="P76" s="82">
        <v>19.900000000000002</v>
      </c>
      <c r="Q76" s="157">
        <v>0</v>
      </c>
      <c r="R76" s="145">
        <v>0.12222222222222223</v>
      </c>
      <c r="S76" s="145" t="s">
        <v>612</v>
      </c>
      <c r="T76" s="67">
        <f t="shared" si="4"/>
        <v>2.5267999999999999E-2</v>
      </c>
      <c r="U76" s="82">
        <v>0</v>
      </c>
      <c r="V76" s="82">
        <v>2.5267999999999999E-2</v>
      </c>
      <c r="W76" s="82">
        <f t="shared" si="5"/>
        <v>1.2697487437185928E-3</v>
      </c>
      <c r="X76" s="145" t="s">
        <v>49</v>
      </c>
      <c r="Z76" s="50">
        <f t="shared" si="7"/>
        <v>1.2697487437185928E-3</v>
      </c>
      <c r="AA76" s="43" t="s">
        <v>667</v>
      </c>
      <c r="AB76" s="43" t="s">
        <v>886</v>
      </c>
      <c r="AC76" s="43" t="s">
        <v>674</v>
      </c>
      <c r="AD76" s="43" t="s">
        <v>36</v>
      </c>
      <c r="AE76" s="43" t="s">
        <v>36</v>
      </c>
      <c r="AF76" s="43" t="s">
        <v>568</v>
      </c>
    </row>
    <row r="77" spans="2:32" x14ac:dyDescent="0.3">
      <c r="B77" s="4">
        <v>68</v>
      </c>
      <c r="C77" s="43" t="s">
        <v>806</v>
      </c>
      <c r="D77" s="43" t="s">
        <v>807</v>
      </c>
      <c r="E77" s="43" t="s">
        <v>30</v>
      </c>
      <c r="F77" s="43" t="s">
        <v>271</v>
      </c>
      <c r="G77" s="134">
        <v>41003</v>
      </c>
      <c r="H77" s="43" t="s">
        <v>32</v>
      </c>
      <c r="I77" s="43" t="s">
        <v>612</v>
      </c>
      <c r="J77" s="142">
        <v>223.74459999999999</v>
      </c>
      <c r="K77" s="142" t="s">
        <v>612</v>
      </c>
      <c r="L77" s="142" t="s">
        <v>612</v>
      </c>
      <c r="M77" s="146">
        <v>0</v>
      </c>
      <c r="N77" s="143">
        <f t="shared" si="6"/>
        <v>0</v>
      </c>
      <c r="O77" s="43" t="s">
        <v>568</v>
      </c>
      <c r="P77" s="82">
        <v>5</v>
      </c>
      <c r="Q77" s="157">
        <v>0</v>
      </c>
      <c r="R77" s="145">
        <v>2.2346907993966863E-2</v>
      </c>
      <c r="S77" s="145" t="s">
        <v>612</v>
      </c>
      <c r="T77" s="67">
        <f t="shared" si="4"/>
        <v>1E-4</v>
      </c>
      <c r="U77" s="82">
        <v>0</v>
      </c>
      <c r="V77" s="82">
        <v>1E-4</v>
      </c>
      <c r="W77" s="82">
        <f t="shared" si="5"/>
        <v>2.0000000000000002E-5</v>
      </c>
      <c r="X77" s="145" t="s">
        <v>49</v>
      </c>
      <c r="Z77" s="50">
        <f t="shared" si="7"/>
        <v>2.0000000000000002E-5</v>
      </c>
      <c r="AB77" s="43" t="s">
        <v>887</v>
      </c>
      <c r="AC77" s="43" t="s">
        <v>899</v>
      </c>
      <c r="AD77" s="43" t="s">
        <v>36</v>
      </c>
      <c r="AE77" s="43" t="s">
        <v>36</v>
      </c>
      <c r="AF77" s="43" t="s">
        <v>568</v>
      </c>
    </row>
    <row r="78" spans="2:32" x14ac:dyDescent="0.3">
      <c r="B78" s="4">
        <v>69</v>
      </c>
      <c r="C78" s="43" t="s">
        <v>808</v>
      </c>
      <c r="D78" s="43" t="s">
        <v>808</v>
      </c>
      <c r="E78" s="43" t="s">
        <v>81</v>
      </c>
      <c r="F78" s="43" t="s">
        <v>120</v>
      </c>
      <c r="G78" s="134">
        <v>41263</v>
      </c>
      <c r="H78" s="43" t="s">
        <v>32</v>
      </c>
      <c r="I78" s="43" t="s">
        <v>612</v>
      </c>
      <c r="J78" s="142">
        <v>77</v>
      </c>
      <c r="K78" s="142" t="s">
        <v>612</v>
      </c>
      <c r="L78" s="142" t="s">
        <v>612</v>
      </c>
      <c r="M78" s="146">
        <v>0</v>
      </c>
      <c r="N78" s="143">
        <f t="shared" si="6"/>
        <v>0</v>
      </c>
      <c r="O78" s="43" t="s">
        <v>568</v>
      </c>
      <c r="P78" s="82">
        <v>2</v>
      </c>
      <c r="Q78" s="157">
        <v>0</v>
      </c>
      <c r="R78" s="145">
        <v>2.5973974025974025E-2</v>
      </c>
      <c r="S78" s="145" t="s">
        <v>612</v>
      </c>
      <c r="T78" s="67">
        <f t="shared" si="4"/>
        <v>0</v>
      </c>
      <c r="U78" s="82">
        <v>0</v>
      </c>
      <c r="V78" s="82">
        <v>0</v>
      </c>
      <c r="W78" s="82">
        <f t="shared" si="5"/>
        <v>0</v>
      </c>
      <c r="X78" s="145" t="s">
        <v>49</v>
      </c>
      <c r="Z78" s="50"/>
      <c r="AB78" s="43" t="s">
        <v>869</v>
      </c>
      <c r="AC78" s="43" t="s">
        <v>274</v>
      </c>
      <c r="AD78" s="43" t="s">
        <v>69</v>
      </c>
      <c r="AE78" s="43" t="s">
        <v>69</v>
      </c>
      <c r="AF78" s="43" t="s">
        <v>568</v>
      </c>
    </row>
    <row r="79" spans="2:32" x14ac:dyDescent="0.3">
      <c r="B79" s="4">
        <v>70</v>
      </c>
      <c r="C79" s="43" t="s">
        <v>809</v>
      </c>
      <c r="D79" s="43" t="s">
        <v>810</v>
      </c>
      <c r="E79" s="43" t="s">
        <v>81</v>
      </c>
      <c r="F79" s="43" t="s">
        <v>791</v>
      </c>
      <c r="G79" s="134">
        <v>41306</v>
      </c>
      <c r="H79" s="43" t="s">
        <v>32</v>
      </c>
      <c r="I79" s="43" t="s">
        <v>612</v>
      </c>
      <c r="J79" s="142">
        <v>56.246962000000003</v>
      </c>
      <c r="K79" s="142" t="s">
        <v>612</v>
      </c>
      <c r="L79" s="142" t="s">
        <v>612</v>
      </c>
      <c r="M79" s="146">
        <v>0</v>
      </c>
      <c r="N79" s="143">
        <f t="shared" si="6"/>
        <v>0</v>
      </c>
      <c r="O79" s="43" t="s">
        <v>568</v>
      </c>
      <c r="P79" s="82">
        <v>11.700000000000001</v>
      </c>
      <c r="Q79" s="157">
        <v>0</v>
      </c>
      <c r="R79" s="145">
        <v>0.17245355295811354</v>
      </c>
      <c r="S79" s="145" t="s">
        <v>612</v>
      </c>
      <c r="T79" s="67">
        <f t="shared" si="4"/>
        <v>1.647E-3</v>
      </c>
      <c r="U79" s="82">
        <v>0</v>
      </c>
      <c r="V79" s="82">
        <v>1.647E-3</v>
      </c>
      <c r="W79" s="82">
        <f t="shared" si="5"/>
        <v>1.4076923076923077E-4</v>
      </c>
      <c r="X79" s="145" t="s">
        <v>49</v>
      </c>
      <c r="Z79" s="50">
        <f t="shared" si="7"/>
        <v>1.4076923076923077E-4</v>
      </c>
      <c r="AA79" s="43" t="s">
        <v>858</v>
      </c>
      <c r="AC79" s="43" t="s">
        <v>157</v>
      </c>
      <c r="AD79" s="43" t="s">
        <v>36</v>
      </c>
      <c r="AE79" s="43" t="s">
        <v>60</v>
      </c>
      <c r="AF79" s="43" t="s">
        <v>568</v>
      </c>
    </row>
    <row r="80" spans="2:32" x14ac:dyDescent="0.3">
      <c r="B80" s="4">
        <v>71</v>
      </c>
      <c r="C80" s="43" t="s">
        <v>811</v>
      </c>
      <c r="D80" s="43" t="s">
        <v>812</v>
      </c>
      <c r="E80" s="43" t="s">
        <v>63</v>
      </c>
      <c r="F80" s="43" t="s">
        <v>40</v>
      </c>
      <c r="G80" s="134">
        <v>41373</v>
      </c>
      <c r="H80" s="43" t="s">
        <v>32</v>
      </c>
      <c r="I80" s="43" t="s">
        <v>612</v>
      </c>
      <c r="J80" s="142">
        <v>219.230827250608</v>
      </c>
      <c r="K80" s="142">
        <v>526.09960074373816</v>
      </c>
      <c r="L80" s="142">
        <f>K80</f>
        <v>526.09960074373816</v>
      </c>
      <c r="M80" s="144">
        <v>1</v>
      </c>
      <c r="N80" s="143">
        <f>L80*(1-M80)</f>
        <v>0</v>
      </c>
      <c r="O80" s="43" t="s">
        <v>650</v>
      </c>
      <c r="P80" s="82">
        <v>8.9</v>
      </c>
      <c r="Q80" s="157">
        <v>0</v>
      </c>
      <c r="R80" s="145">
        <v>4.1099999999999998E-2</v>
      </c>
      <c r="S80" s="145">
        <v>3.7169382856428936E-2</v>
      </c>
      <c r="T80" s="67">
        <f t="shared" si="4"/>
        <v>0</v>
      </c>
      <c r="U80" s="82">
        <v>0</v>
      </c>
      <c r="V80" s="82">
        <v>0</v>
      </c>
      <c r="W80" s="82">
        <f t="shared" si="5"/>
        <v>0</v>
      </c>
      <c r="X80" s="145" t="s">
        <v>49</v>
      </c>
      <c r="Z80" s="50"/>
      <c r="AA80" s="43" t="s">
        <v>859</v>
      </c>
      <c r="AC80" s="43" t="s">
        <v>900</v>
      </c>
      <c r="AD80" s="43" t="s">
        <v>69</v>
      </c>
      <c r="AE80" s="43" t="s">
        <v>69</v>
      </c>
      <c r="AF80" s="43" t="s">
        <v>552</v>
      </c>
    </row>
    <row r="81" spans="2:32" x14ac:dyDescent="0.3">
      <c r="B81" s="4">
        <v>72</v>
      </c>
      <c r="C81" s="43" t="s">
        <v>813</v>
      </c>
      <c r="D81" s="43" t="s">
        <v>814</v>
      </c>
      <c r="E81" s="43" t="s">
        <v>81</v>
      </c>
      <c r="F81" s="43" t="s">
        <v>64</v>
      </c>
      <c r="G81" s="134">
        <v>41403</v>
      </c>
      <c r="H81" s="43" t="s">
        <v>32</v>
      </c>
      <c r="I81" s="43" t="s">
        <v>32</v>
      </c>
      <c r="J81" s="142">
        <v>91.356300000000005</v>
      </c>
      <c r="K81" s="142">
        <v>91.356300000000005</v>
      </c>
      <c r="L81" s="142">
        <f>K81</f>
        <v>91.356300000000005</v>
      </c>
      <c r="M81" s="144">
        <v>1</v>
      </c>
      <c r="N81" s="143">
        <f>L81*(1-M81)</f>
        <v>0</v>
      </c>
      <c r="O81" s="43" t="s">
        <v>650</v>
      </c>
      <c r="P81" s="82">
        <v>13</v>
      </c>
      <c r="Q81" s="157">
        <v>0</v>
      </c>
      <c r="R81" s="145">
        <v>0.14229998369023264</v>
      </c>
      <c r="S81" s="145">
        <v>0.14229998369023264</v>
      </c>
      <c r="T81" s="67">
        <f t="shared" si="4"/>
        <v>0</v>
      </c>
      <c r="U81" s="82">
        <v>0</v>
      </c>
      <c r="V81" s="82">
        <v>0</v>
      </c>
      <c r="W81" s="82">
        <f t="shared" si="5"/>
        <v>0</v>
      </c>
      <c r="X81" s="145" t="s">
        <v>49</v>
      </c>
      <c r="Z81" s="50"/>
      <c r="AA81" s="43" t="s">
        <v>850</v>
      </c>
      <c r="AC81" s="43" t="s">
        <v>900</v>
      </c>
      <c r="AD81" s="43" t="s">
        <v>36</v>
      </c>
      <c r="AE81" s="43" t="s">
        <v>36</v>
      </c>
      <c r="AF81" s="43" t="s">
        <v>552</v>
      </c>
    </row>
    <row r="82" spans="2:32" x14ac:dyDescent="0.3">
      <c r="B82" s="4">
        <v>73</v>
      </c>
      <c r="C82" s="43" t="s">
        <v>815</v>
      </c>
      <c r="D82" s="43" t="s">
        <v>914</v>
      </c>
      <c r="E82" s="43" t="s">
        <v>908</v>
      </c>
      <c r="F82" s="43" t="s">
        <v>127</v>
      </c>
      <c r="G82" s="134">
        <v>41765</v>
      </c>
      <c r="H82" s="43" t="s">
        <v>32</v>
      </c>
      <c r="I82" s="43" t="s">
        <v>612</v>
      </c>
      <c r="J82" s="142">
        <v>142.41771499999999</v>
      </c>
      <c r="K82" s="142" t="s">
        <v>612</v>
      </c>
      <c r="L82" s="142" t="s">
        <v>612</v>
      </c>
      <c r="M82" s="146">
        <v>0</v>
      </c>
      <c r="N82" s="143">
        <f>M82</f>
        <v>0</v>
      </c>
      <c r="O82" s="43" t="s">
        <v>568</v>
      </c>
      <c r="P82" s="82">
        <v>7.1</v>
      </c>
      <c r="Q82" s="157">
        <v>0</v>
      </c>
      <c r="R82" s="145">
        <v>5.005021879297622E-2</v>
      </c>
      <c r="S82" s="145" t="s">
        <v>612</v>
      </c>
      <c r="T82" s="67">
        <f t="shared" si="4"/>
        <v>1.2000000000000001E-3</v>
      </c>
      <c r="U82" s="82">
        <v>0</v>
      </c>
      <c r="V82" s="82">
        <v>1.2000000000000001E-3</v>
      </c>
      <c r="W82" s="82">
        <f t="shared" si="5"/>
        <v>1.6901408450704228E-4</v>
      </c>
      <c r="X82" s="145" t="s">
        <v>49</v>
      </c>
      <c r="Z82" s="50">
        <f t="shared" si="7"/>
        <v>1.6901408450704228E-4</v>
      </c>
      <c r="AB82" s="43" t="s">
        <v>874</v>
      </c>
      <c r="AC82" s="43" t="s">
        <v>438</v>
      </c>
      <c r="AD82" s="43" t="s">
        <v>69</v>
      </c>
      <c r="AE82" s="43" t="s">
        <v>43</v>
      </c>
      <c r="AF82" s="43" t="s">
        <v>568</v>
      </c>
    </row>
    <row r="83" spans="2:32" x14ac:dyDescent="0.3">
      <c r="B83" s="44"/>
      <c r="C83" s="44"/>
      <c r="D83" s="44"/>
      <c r="E83" s="44"/>
      <c r="F83" s="44"/>
      <c r="G83" s="44"/>
      <c r="H83" s="44"/>
      <c r="I83" s="44"/>
      <c r="J83" s="44"/>
      <c r="K83" s="44"/>
      <c r="L83" s="44"/>
      <c r="M83" s="44"/>
      <c r="N83" s="44"/>
      <c r="O83" s="44"/>
      <c r="P83" s="55">
        <f>SUM(P4:P82)</f>
        <v>922.31761852000011</v>
      </c>
      <c r="Q83" s="56">
        <f>SUM(Q4:Q82)</f>
        <v>15.708746220296025</v>
      </c>
      <c r="R83" s="44"/>
      <c r="S83" s="44"/>
      <c r="T83" s="55">
        <f>SUM(T4:T82)</f>
        <v>4893.9136176863722</v>
      </c>
      <c r="U83" s="55">
        <f>SUM(U4:U82)</f>
        <v>483.4565404165686</v>
      </c>
      <c r="V83" s="55">
        <f>SUM(V4:V82)</f>
        <v>4410.4570772698007</v>
      </c>
      <c r="W83" s="55">
        <f>T83/P83</f>
        <v>5.3061044475539845</v>
      </c>
      <c r="X83" s="45">
        <v>0.22810262207031251</v>
      </c>
      <c r="Y83" s="44"/>
      <c r="Z83" s="54"/>
      <c r="AA83" s="44"/>
      <c r="AB83" s="44"/>
      <c r="AC83" s="44"/>
      <c r="AD83" s="44"/>
      <c r="AE83" s="44"/>
      <c r="AF83" s="44"/>
    </row>
    <row r="86" spans="2:32" x14ac:dyDescent="0.3">
      <c r="C86" s="43" t="s">
        <v>264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D6E58-9232-419C-A4F0-67A852CB4514}">
  <dimension ref="B2:AF53"/>
  <sheetViews>
    <sheetView showGridLines="0" zoomScaleNormal="100" workbookViewId="0">
      <pane xSplit="4" ySplit="3" topLeftCell="S4" activePane="bottomRight" state="frozen"/>
      <selection activeCell="T12" sqref="B1:AI56"/>
      <selection pane="topRight" activeCell="T12" sqref="B1:AI56"/>
      <selection pane="bottomLeft" activeCell="T12" sqref="B1:AI56"/>
      <selection pane="bottomRight" activeCell="U24" sqref="U24"/>
    </sheetView>
  </sheetViews>
  <sheetFormatPr defaultColWidth="8.6328125" defaultRowHeight="13" x14ac:dyDescent="0.3"/>
  <cols>
    <col min="1" max="1" width="4.08984375" style="43" customWidth="1"/>
    <col min="2" max="2" width="8.6328125" style="4"/>
    <col min="3" max="3" width="38.36328125" style="43" customWidth="1"/>
    <col min="4" max="4" width="21.90625" style="43" customWidth="1"/>
    <col min="5" max="5" width="14.6328125" style="43" customWidth="1"/>
    <col min="6" max="6" width="22.36328125" style="43" bestFit="1" customWidth="1"/>
    <col min="7" max="7" width="14.6328125" style="43" customWidth="1"/>
    <col min="8" max="8" width="16.90625" style="43" customWidth="1"/>
    <col min="9" max="9" width="16.6328125" style="43" customWidth="1"/>
    <col min="10" max="10" width="15" style="43" bestFit="1" customWidth="1"/>
    <col min="11" max="11" width="18.36328125" style="43" bestFit="1" customWidth="1"/>
    <col min="12" max="12" width="18.36328125" style="63" bestFit="1" customWidth="1"/>
    <col min="13" max="13" width="16" style="43" bestFit="1" customWidth="1"/>
    <col min="14" max="14" width="15.6328125" style="43" bestFit="1" customWidth="1"/>
    <col min="15" max="15" width="16.6328125" style="43" customWidth="1"/>
    <col min="16" max="16" width="18.6328125" style="67" customWidth="1"/>
    <col min="17" max="19" width="18.6328125" style="43" customWidth="1"/>
    <col min="20" max="20" width="18.6328125" style="67" customWidth="1"/>
    <col min="21" max="24" width="18.6328125" style="43" customWidth="1"/>
    <col min="25" max="25" width="11.54296875" style="43" customWidth="1"/>
    <col min="26" max="26" width="9.453125" style="43" customWidth="1"/>
    <col min="27" max="27" width="38.54296875" style="43" customWidth="1"/>
    <col min="28" max="28" width="55.453125" style="43" customWidth="1"/>
    <col min="29" max="29" width="46.6328125" style="43" bestFit="1" customWidth="1"/>
    <col min="30" max="30" width="17.453125" style="43" bestFit="1" customWidth="1"/>
    <col min="31" max="31" width="12" style="43" customWidth="1"/>
    <col min="32" max="32" width="11.08984375" style="43" customWidth="1"/>
    <col min="33" max="16384" width="8.6328125" style="43"/>
  </cols>
  <sheetData>
    <row r="2" spans="2:32" ht="39" x14ac:dyDescent="0.3">
      <c r="B2" s="40" t="s">
        <v>0</v>
      </c>
      <c r="C2" s="40" t="s">
        <v>1</v>
      </c>
      <c r="D2" s="40" t="s">
        <v>2</v>
      </c>
      <c r="E2" s="40" t="s">
        <v>3</v>
      </c>
      <c r="F2" s="40" t="s">
        <v>4</v>
      </c>
      <c r="G2" s="40" t="s">
        <v>5</v>
      </c>
      <c r="H2" s="40" t="s">
        <v>6</v>
      </c>
      <c r="I2" s="40" t="s">
        <v>7</v>
      </c>
      <c r="J2" s="40" t="s">
        <v>8</v>
      </c>
      <c r="K2" s="40" t="s">
        <v>9</v>
      </c>
      <c r="L2" s="155" t="s">
        <v>10</v>
      </c>
      <c r="M2" s="41" t="s">
        <v>11</v>
      </c>
      <c r="N2" s="41" t="s">
        <v>12</v>
      </c>
      <c r="O2" s="40" t="s">
        <v>13</v>
      </c>
      <c r="P2" s="73" t="s">
        <v>14</v>
      </c>
      <c r="Q2" s="40" t="s">
        <v>15</v>
      </c>
      <c r="R2" s="41" t="s">
        <v>621</v>
      </c>
      <c r="S2" s="41" t="s">
        <v>622</v>
      </c>
      <c r="T2" s="73" t="s">
        <v>16</v>
      </c>
      <c r="U2" s="40" t="s">
        <v>17</v>
      </c>
      <c r="V2" s="40" t="s">
        <v>18</v>
      </c>
      <c r="W2" s="40" t="s">
        <v>19</v>
      </c>
      <c r="X2" s="41" t="s">
        <v>1130</v>
      </c>
      <c r="Y2" s="41" t="s">
        <v>20</v>
      </c>
      <c r="Z2" s="41" t="s">
        <v>21</v>
      </c>
      <c r="AA2" s="40" t="s">
        <v>22</v>
      </c>
      <c r="AB2" s="40" t="s">
        <v>955</v>
      </c>
      <c r="AC2" s="40" t="s">
        <v>23</v>
      </c>
      <c r="AD2" s="40" t="s">
        <v>24</v>
      </c>
      <c r="AE2" s="40" t="s">
        <v>25</v>
      </c>
      <c r="AF2" s="40" t="s">
        <v>265</v>
      </c>
    </row>
    <row r="3" spans="2:32" x14ac:dyDescent="0.3">
      <c r="B3" s="44"/>
      <c r="C3" s="44"/>
      <c r="D3" s="44"/>
      <c r="E3" s="44"/>
      <c r="F3" s="44"/>
      <c r="G3" s="44" t="s">
        <v>26</v>
      </c>
      <c r="H3" s="44"/>
      <c r="I3" s="44"/>
      <c r="J3" s="44" t="s">
        <v>1129</v>
      </c>
      <c r="K3" s="44" t="s">
        <v>1129</v>
      </c>
      <c r="L3" s="44" t="s">
        <v>1129</v>
      </c>
      <c r="M3" s="44"/>
      <c r="N3" s="44" t="s">
        <v>1129</v>
      </c>
      <c r="O3" s="44"/>
      <c r="P3" s="44" t="s">
        <v>1129</v>
      </c>
      <c r="Q3" s="44" t="s">
        <v>1129</v>
      </c>
      <c r="R3" s="44" t="s">
        <v>27</v>
      </c>
      <c r="S3" s="44" t="s">
        <v>27</v>
      </c>
      <c r="T3" s="44" t="s">
        <v>1129</v>
      </c>
      <c r="U3" s="44" t="s">
        <v>1129</v>
      </c>
      <c r="V3" s="44" t="s">
        <v>1129</v>
      </c>
      <c r="W3" s="44" t="s">
        <v>268</v>
      </c>
      <c r="X3" s="44" t="s">
        <v>27</v>
      </c>
      <c r="Y3" s="44"/>
      <c r="Z3" s="44"/>
      <c r="AA3" s="44"/>
      <c r="AB3" s="44"/>
      <c r="AC3" s="44"/>
      <c r="AD3" s="44"/>
      <c r="AE3" s="44"/>
      <c r="AF3" s="44"/>
    </row>
    <row r="4" spans="2:32" x14ac:dyDescent="0.3">
      <c r="B4" s="4">
        <v>1</v>
      </c>
      <c r="C4" s="43" t="s">
        <v>419</v>
      </c>
      <c r="D4" s="43" t="s">
        <v>420</v>
      </c>
      <c r="E4" s="43" t="s">
        <v>81</v>
      </c>
      <c r="F4" s="43" t="s">
        <v>55</v>
      </c>
      <c r="G4" s="134">
        <v>42121</v>
      </c>
      <c r="H4" s="43" t="s">
        <v>32</v>
      </c>
      <c r="I4" s="43" t="s">
        <v>612</v>
      </c>
      <c r="J4" s="142">
        <v>114.5004</v>
      </c>
      <c r="K4" s="142" t="s">
        <v>612</v>
      </c>
      <c r="L4" s="142" t="s">
        <v>612</v>
      </c>
      <c r="M4" s="146">
        <v>0</v>
      </c>
      <c r="N4" s="143">
        <v>0</v>
      </c>
      <c r="O4" s="43" t="s">
        <v>97</v>
      </c>
      <c r="P4" s="82">
        <v>28.268404999999998</v>
      </c>
      <c r="Q4" s="82">
        <v>0</v>
      </c>
      <c r="R4" s="145">
        <v>5.2407240498723147E-2</v>
      </c>
      <c r="S4" s="145" t="s">
        <v>612</v>
      </c>
      <c r="T4" s="67">
        <f t="shared" ref="T4:T23" si="0">V4+U4</f>
        <v>540.55267800000001</v>
      </c>
      <c r="U4" s="115">
        <v>0</v>
      </c>
      <c r="V4" s="115">
        <v>540.55267800000001</v>
      </c>
      <c r="W4" s="50">
        <f t="shared" ref="W4:W24" si="1">T4/P4</f>
        <v>19.122149905521731</v>
      </c>
      <c r="X4" s="145">
        <v>0.70132713867187513</v>
      </c>
      <c r="Y4" s="43" t="s">
        <v>651</v>
      </c>
      <c r="Z4" s="85">
        <f>W4</f>
        <v>19.122149905521731</v>
      </c>
      <c r="AA4" s="43" t="s">
        <v>422</v>
      </c>
      <c r="AB4" s="43" t="s">
        <v>669</v>
      </c>
      <c r="AC4" s="43" t="s">
        <v>288</v>
      </c>
      <c r="AD4" s="43" t="s">
        <v>52</v>
      </c>
      <c r="AE4" s="43" t="s">
        <v>60</v>
      </c>
      <c r="AF4" s="43" t="s">
        <v>461</v>
      </c>
    </row>
    <row r="5" spans="2:32" x14ac:dyDescent="0.3">
      <c r="B5" s="4">
        <v>2</v>
      </c>
      <c r="C5" s="43" t="s">
        <v>577</v>
      </c>
      <c r="D5" s="43" t="s">
        <v>440</v>
      </c>
      <c r="E5" s="43" t="s">
        <v>92</v>
      </c>
      <c r="F5" s="43" t="s">
        <v>182</v>
      </c>
      <c r="G5" s="134">
        <v>42065</v>
      </c>
      <c r="H5" s="43" t="s">
        <v>649</v>
      </c>
      <c r="I5" s="43" t="s">
        <v>418</v>
      </c>
      <c r="J5" s="142">
        <v>1423.710452736</v>
      </c>
      <c r="K5" s="142">
        <v>41634.549999999996</v>
      </c>
      <c r="L5" s="142">
        <v>41634.549999999996</v>
      </c>
      <c r="M5" s="144">
        <v>0.3</v>
      </c>
      <c r="N5" s="143">
        <f>L5*(1-M5)</f>
        <v>29144.184999999994</v>
      </c>
      <c r="O5" s="43" t="s">
        <v>969</v>
      </c>
      <c r="P5" s="82">
        <v>9.3999999999999986</v>
      </c>
      <c r="Q5" s="82">
        <v>6.5608784878487842</v>
      </c>
      <c r="R5" s="145">
        <v>6.4078532249785157E-3</v>
      </c>
      <c r="S5" s="145">
        <v>1.4480418084164349E-3</v>
      </c>
      <c r="T5" s="67">
        <f t="shared" si="0"/>
        <v>110.63235964925482</v>
      </c>
      <c r="U5" s="115">
        <v>45.116942649254824</v>
      </c>
      <c r="V5" s="115">
        <v>65.515416999999999</v>
      </c>
      <c r="W5" s="50">
        <f t="shared" si="1"/>
        <v>11.769399962686686</v>
      </c>
      <c r="X5" s="145">
        <v>0.36874811035156263</v>
      </c>
      <c r="Y5" s="43" t="s">
        <v>688</v>
      </c>
      <c r="Z5" s="85">
        <f>V5/(P5-Q5)</f>
        <v>23.075946809461737</v>
      </c>
      <c r="AA5" s="43" t="s">
        <v>441</v>
      </c>
      <c r="AB5" s="43" t="s">
        <v>442</v>
      </c>
      <c r="AC5" s="43" t="s">
        <v>443</v>
      </c>
      <c r="AD5" s="43" t="s">
        <v>69</v>
      </c>
      <c r="AE5" s="43" t="s">
        <v>36</v>
      </c>
      <c r="AF5" s="43" t="s">
        <v>689</v>
      </c>
    </row>
    <row r="6" spans="2:32" x14ac:dyDescent="0.3">
      <c r="B6" s="4">
        <v>3</v>
      </c>
      <c r="C6" s="43" t="s">
        <v>315</v>
      </c>
      <c r="D6" s="43" t="s">
        <v>316</v>
      </c>
      <c r="E6" s="43" t="s">
        <v>39</v>
      </c>
      <c r="F6" s="43" t="s">
        <v>40</v>
      </c>
      <c r="G6" s="134">
        <v>41892</v>
      </c>
      <c r="H6" s="43" t="s">
        <v>32</v>
      </c>
      <c r="I6" s="43" t="s">
        <v>612</v>
      </c>
      <c r="J6" s="142">
        <v>132.01616300000001</v>
      </c>
      <c r="K6" s="142" t="s">
        <v>612</v>
      </c>
      <c r="L6" s="142" t="str">
        <f>K6</f>
        <v>N.A</v>
      </c>
      <c r="M6" s="146">
        <v>0</v>
      </c>
      <c r="N6" s="143">
        <f t="shared" ref="N6:N23" si="2">M6</f>
        <v>0</v>
      </c>
      <c r="O6" s="43" t="s">
        <v>97</v>
      </c>
      <c r="P6" s="82">
        <v>15.4</v>
      </c>
      <c r="Q6" s="82">
        <v>0</v>
      </c>
      <c r="R6" s="145">
        <v>4.5575757575757582E-2</v>
      </c>
      <c r="S6" s="145" t="s">
        <v>612</v>
      </c>
      <c r="T6" s="67">
        <f t="shared" si="0"/>
        <v>183.83928</v>
      </c>
      <c r="U6" s="115">
        <v>0</v>
      </c>
      <c r="V6" s="115">
        <v>183.83928</v>
      </c>
      <c r="W6" s="50">
        <f t="shared" si="1"/>
        <v>11.937615584415584</v>
      </c>
      <c r="X6" s="145">
        <v>0.30894382324218761</v>
      </c>
      <c r="Y6" s="43" t="s">
        <v>656</v>
      </c>
      <c r="Z6" s="85">
        <f>W6</f>
        <v>11.937615584415584</v>
      </c>
      <c r="AA6" s="43" t="s">
        <v>317</v>
      </c>
      <c r="AB6" s="43" t="s">
        <v>670</v>
      </c>
      <c r="AC6" s="43" t="s">
        <v>51</v>
      </c>
      <c r="AD6" s="43" t="s">
        <v>36</v>
      </c>
      <c r="AE6" s="43" t="s">
        <v>36</v>
      </c>
      <c r="AF6" s="43" t="s">
        <v>461</v>
      </c>
    </row>
    <row r="7" spans="2:32" x14ac:dyDescent="0.3">
      <c r="B7" s="4">
        <v>4</v>
      </c>
      <c r="C7" s="43" t="s">
        <v>416</v>
      </c>
      <c r="D7" s="43" t="s">
        <v>417</v>
      </c>
      <c r="E7" s="43" t="s">
        <v>81</v>
      </c>
      <c r="F7" s="43" t="s">
        <v>271</v>
      </c>
      <c r="G7" s="134">
        <v>42326</v>
      </c>
      <c r="H7" s="43" t="s">
        <v>536</v>
      </c>
      <c r="I7" s="43" t="s">
        <v>612</v>
      </c>
      <c r="J7" s="142">
        <v>1590.2466575365461</v>
      </c>
      <c r="K7" s="142" t="s">
        <v>612</v>
      </c>
      <c r="L7" s="142" t="str">
        <f>K7</f>
        <v>N.A</v>
      </c>
      <c r="M7" s="146">
        <v>0</v>
      </c>
      <c r="N7" s="143">
        <f t="shared" si="2"/>
        <v>0</v>
      </c>
      <c r="O7" s="43" t="s">
        <v>97</v>
      </c>
      <c r="P7" s="82">
        <v>6</v>
      </c>
      <c r="Q7" s="82">
        <v>0</v>
      </c>
      <c r="R7" s="145">
        <v>3.7989409237583044E-3</v>
      </c>
      <c r="S7" s="145" t="s">
        <v>612</v>
      </c>
      <c r="T7" s="67">
        <f t="shared" si="0"/>
        <v>30.003084000000001</v>
      </c>
      <c r="U7" s="115">
        <v>0</v>
      </c>
      <c r="V7" s="115">
        <v>30.003084000000001</v>
      </c>
      <c r="W7" s="50">
        <f t="shared" si="1"/>
        <v>5.0005139999999999</v>
      </c>
      <c r="X7" s="145">
        <v>0.36411879394531255</v>
      </c>
      <c r="Y7" s="43" t="s">
        <v>651</v>
      </c>
      <c r="Z7" s="85">
        <f>W7</f>
        <v>5.0005139999999999</v>
      </c>
      <c r="AA7" s="43" t="s">
        <v>272</v>
      </c>
      <c r="AB7" s="43" t="s">
        <v>676</v>
      </c>
      <c r="AC7" s="43" t="s">
        <v>274</v>
      </c>
      <c r="AD7" s="43" t="s">
        <v>36</v>
      </c>
      <c r="AE7" s="43" t="s">
        <v>60</v>
      </c>
      <c r="AF7" s="43" t="s">
        <v>461</v>
      </c>
    </row>
    <row r="8" spans="2:32" x14ac:dyDescent="0.3">
      <c r="B8" s="4">
        <v>5</v>
      </c>
      <c r="C8" s="43" t="s">
        <v>623</v>
      </c>
      <c r="D8" s="43" t="s">
        <v>624</v>
      </c>
      <c r="E8" s="43" t="s">
        <v>39</v>
      </c>
      <c r="F8" s="43" t="s">
        <v>127</v>
      </c>
      <c r="G8" s="134">
        <v>41831</v>
      </c>
      <c r="H8" s="43" t="s">
        <v>32</v>
      </c>
      <c r="I8" s="43" t="s">
        <v>612</v>
      </c>
      <c r="J8" s="142">
        <v>137.50215029574838</v>
      </c>
      <c r="K8" s="142" t="s">
        <v>612</v>
      </c>
      <c r="L8" s="142" t="str">
        <f>K8</f>
        <v>N.A</v>
      </c>
      <c r="M8" s="146">
        <v>0</v>
      </c>
      <c r="N8" s="143">
        <f t="shared" si="2"/>
        <v>0</v>
      </c>
      <c r="O8" s="43" t="s">
        <v>97</v>
      </c>
      <c r="P8" s="82">
        <v>9</v>
      </c>
      <c r="Q8" s="82">
        <v>0</v>
      </c>
      <c r="R8" s="145">
        <v>6.545454545454546E-2</v>
      </c>
      <c r="S8" s="145" t="s">
        <v>612</v>
      </c>
      <c r="T8" s="67">
        <f t="shared" si="0"/>
        <v>105.25760399999999</v>
      </c>
      <c r="U8" s="115">
        <v>0</v>
      </c>
      <c r="V8" s="115">
        <v>105.25760399999999</v>
      </c>
      <c r="W8" s="50">
        <f t="shared" si="1"/>
        <v>11.695289333333331</v>
      </c>
      <c r="X8" s="145">
        <v>0.35847024902343749</v>
      </c>
      <c r="Y8" s="43" t="s">
        <v>918</v>
      </c>
      <c r="Z8" s="85">
        <f>W8</f>
        <v>11.695289333333331</v>
      </c>
      <c r="AA8" s="43" t="s">
        <v>657</v>
      </c>
      <c r="AC8" s="43" t="s">
        <v>438</v>
      </c>
      <c r="AD8" s="43" t="s">
        <v>36</v>
      </c>
      <c r="AE8" s="43" t="s">
        <v>60</v>
      </c>
      <c r="AF8" s="43" t="s">
        <v>461</v>
      </c>
    </row>
    <row r="9" spans="2:32" x14ac:dyDescent="0.3">
      <c r="B9" s="4">
        <v>6</v>
      </c>
      <c r="C9" s="43" t="s">
        <v>283</v>
      </c>
      <c r="D9" s="43" t="s">
        <v>284</v>
      </c>
      <c r="E9" s="43" t="s">
        <v>39</v>
      </c>
      <c r="F9" s="43" t="s">
        <v>285</v>
      </c>
      <c r="G9" s="134">
        <v>42116</v>
      </c>
      <c r="H9" s="43" t="s">
        <v>32</v>
      </c>
      <c r="I9" s="43" t="s">
        <v>612</v>
      </c>
      <c r="J9" s="142">
        <v>174.00832199999999</v>
      </c>
      <c r="K9" s="142" t="s">
        <v>612</v>
      </c>
      <c r="L9" s="142" t="str">
        <f>K9</f>
        <v>N.A</v>
      </c>
      <c r="M9" s="146">
        <v>0</v>
      </c>
      <c r="N9" s="143">
        <f t="shared" si="2"/>
        <v>0</v>
      </c>
      <c r="O9" s="43" t="s">
        <v>97</v>
      </c>
      <c r="P9" s="82">
        <v>36.464293999999995</v>
      </c>
      <c r="Q9" s="82">
        <v>0</v>
      </c>
      <c r="R9" s="145">
        <v>8.6236658976874978E-2</v>
      </c>
      <c r="S9" s="145" t="s">
        <v>612</v>
      </c>
      <c r="T9" s="67">
        <f t="shared" si="0"/>
        <v>496.19464535861039</v>
      </c>
      <c r="U9" s="115">
        <v>0</v>
      </c>
      <c r="V9" s="115">
        <v>496.19464535861039</v>
      </c>
      <c r="W9" s="50">
        <f t="shared" si="1"/>
        <v>13.607685517196918</v>
      </c>
      <c r="X9" s="145">
        <v>0.52531864257812511</v>
      </c>
      <c r="Y9" s="43" t="s">
        <v>656</v>
      </c>
      <c r="Z9" s="85">
        <f>W9</f>
        <v>13.607685517196918</v>
      </c>
      <c r="AA9" s="43" t="s">
        <v>286</v>
      </c>
      <c r="AB9" s="43" t="s">
        <v>677</v>
      </c>
      <c r="AC9" s="43" t="s">
        <v>288</v>
      </c>
      <c r="AD9" s="43" t="s">
        <v>43</v>
      </c>
      <c r="AE9" s="43" t="s">
        <v>43</v>
      </c>
      <c r="AF9" s="43" t="s">
        <v>461</v>
      </c>
    </row>
    <row r="10" spans="2:32" x14ac:dyDescent="0.3">
      <c r="B10" s="4">
        <v>7</v>
      </c>
      <c r="C10" s="43" t="s">
        <v>625</v>
      </c>
      <c r="D10" s="43" t="s">
        <v>626</v>
      </c>
      <c r="E10" s="43" t="s">
        <v>92</v>
      </c>
      <c r="F10" s="43" t="s">
        <v>646</v>
      </c>
      <c r="G10" s="134">
        <v>42065</v>
      </c>
      <c r="H10" s="43" t="s">
        <v>32</v>
      </c>
      <c r="I10" s="43" t="s">
        <v>56</v>
      </c>
      <c r="J10" s="142">
        <v>382.8</v>
      </c>
      <c r="K10" s="142">
        <v>53.108753444642566</v>
      </c>
      <c r="L10" s="142">
        <v>0</v>
      </c>
      <c r="M10" s="146">
        <v>0</v>
      </c>
      <c r="N10" s="143">
        <f t="shared" si="2"/>
        <v>0</v>
      </c>
      <c r="O10" s="43" t="s">
        <v>650</v>
      </c>
      <c r="P10" s="82">
        <v>9.3584169999999993</v>
      </c>
      <c r="Q10" s="82">
        <f>P10</f>
        <v>9.3584169999999993</v>
      </c>
      <c r="R10" s="145">
        <v>1.5660919540229884E-2</v>
      </c>
      <c r="S10" s="145">
        <v>1.360384753557313E-2</v>
      </c>
      <c r="T10" s="67">
        <f t="shared" si="0"/>
        <v>0</v>
      </c>
      <c r="U10" s="115">
        <v>0</v>
      </c>
      <c r="V10" s="115">
        <v>0</v>
      </c>
      <c r="W10" s="50">
        <f t="shared" si="1"/>
        <v>0</v>
      </c>
      <c r="X10" s="145" t="s">
        <v>49</v>
      </c>
      <c r="Z10" s="85"/>
      <c r="AA10" s="43" t="s">
        <v>658</v>
      </c>
      <c r="AB10" s="43" t="s">
        <v>678</v>
      </c>
      <c r="AC10" s="43" t="s">
        <v>274</v>
      </c>
      <c r="AD10" s="43" t="s">
        <v>36</v>
      </c>
      <c r="AE10" s="43" t="s">
        <v>69</v>
      </c>
      <c r="AF10" s="43" t="s">
        <v>552</v>
      </c>
    </row>
    <row r="11" spans="2:32" x14ac:dyDescent="0.3">
      <c r="B11" s="4">
        <v>8</v>
      </c>
      <c r="C11" s="43" t="s">
        <v>627</v>
      </c>
      <c r="D11" s="43" t="s">
        <v>628</v>
      </c>
      <c r="E11" s="43" t="s">
        <v>30</v>
      </c>
      <c r="F11" s="43" t="s">
        <v>127</v>
      </c>
      <c r="G11" s="134">
        <v>41901</v>
      </c>
      <c r="H11" s="43" t="s">
        <v>32</v>
      </c>
      <c r="I11" s="43" t="s">
        <v>612</v>
      </c>
      <c r="J11" s="142">
        <v>606.02836291258905</v>
      </c>
      <c r="K11" s="142" t="s">
        <v>612</v>
      </c>
      <c r="L11" s="142" t="str">
        <f>K11</f>
        <v>N.A</v>
      </c>
      <c r="M11" s="146">
        <v>0</v>
      </c>
      <c r="N11" s="143">
        <f t="shared" si="2"/>
        <v>0</v>
      </c>
      <c r="O11" s="43" t="s">
        <v>97</v>
      </c>
      <c r="P11" s="82">
        <v>5</v>
      </c>
      <c r="Q11" s="82">
        <v>0</v>
      </c>
      <c r="R11" s="145">
        <v>8.2508250825082501E-3</v>
      </c>
      <c r="S11" s="145" t="s">
        <v>612</v>
      </c>
      <c r="T11" s="67">
        <f t="shared" si="0"/>
        <v>13.836735870000002</v>
      </c>
      <c r="U11" s="115">
        <v>0</v>
      </c>
      <c r="V11" s="115">
        <v>13.836735870000002</v>
      </c>
      <c r="W11" s="50">
        <f t="shared" si="1"/>
        <v>2.7673471740000002</v>
      </c>
      <c r="X11" s="145">
        <v>2.0619895898437508</v>
      </c>
      <c r="Y11" s="43" t="s">
        <v>652</v>
      </c>
      <c r="Z11" s="85">
        <f t="shared" ref="Z11:Z23" si="3">W11</f>
        <v>2.7673471740000002</v>
      </c>
      <c r="AA11" s="43" t="s">
        <v>659</v>
      </c>
      <c r="AB11" s="43" t="s">
        <v>679</v>
      </c>
      <c r="AC11" s="43" t="s">
        <v>274</v>
      </c>
      <c r="AD11" s="43" t="s">
        <v>36</v>
      </c>
      <c r="AE11" s="43" t="s">
        <v>36</v>
      </c>
      <c r="AF11" s="43" t="s">
        <v>461</v>
      </c>
    </row>
    <row r="12" spans="2:32" x14ac:dyDescent="0.3">
      <c r="B12" s="4">
        <v>9</v>
      </c>
      <c r="C12" s="43" t="s">
        <v>428</v>
      </c>
      <c r="D12" s="43" t="s">
        <v>429</v>
      </c>
      <c r="E12" s="43" t="s">
        <v>81</v>
      </c>
      <c r="F12" s="43" t="s">
        <v>55</v>
      </c>
      <c r="G12" s="134">
        <v>42090</v>
      </c>
      <c r="H12" s="43" t="s">
        <v>32</v>
      </c>
      <c r="I12" s="43" t="s">
        <v>612</v>
      </c>
      <c r="J12" s="142">
        <v>449.67502168175531</v>
      </c>
      <c r="K12" s="142" t="s">
        <v>612</v>
      </c>
      <c r="L12" s="142" t="str">
        <f>K12</f>
        <v>N.A</v>
      </c>
      <c r="M12" s="146">
        <v>0</v>
      </c>
      <c r="N12" s="143">
        <f t="shared" si="2"/>
        <v>0</v>
      </c>
      <c r="O12" s="43" t="s">
        <v>97</v>
      </c>
      <c r="P12" s="82">
        <v>12</v>
      </c>
      <c r="Q12" s="82">
        <v>0</v>
      </c>
      <c r="R12" s="145">
        <v>2.6664496281571293E-2</v>
      </c>
      <c r="S12" s="145" t="s">
        <v>612</v>
      </c>
      <c r="T12" s="67">
        <f t="shared" si="0"/>
        <v>29.1906</v>
      </c>
      <c r="U12" s="115">
        <v>0</v>
      </c>
      <c r="V12" s="115">
        <v>29.1906</v>
      </c>
      <c r="W12" s="50">
        <f t="shared" si="1"/>
        <v>2.43255</v>
      </c>
      <c r="X12" s="145">
        <v>0.16906371582031249</v>
      </c>
      <c r="Y12" s="43" t="s">
        <v>651</v>
      </c>
      <c r="Z12" s="85">
        <f t="shared" si="3"/>
        <v>2.43255</v>
      </c>
      <c r="AA12" s="43" t="s">
        <v>430</v>
      </c>
      <c r="AB12" s="43" t="s">
        <v>680</v>
      </c>
      <c r="AC12" s="43" t="s">
        <v>432</v>
      </c>
      <c r="AD12" s="43" t="s">
        <v>36</v>
      </c>
      <c r="AE12" s="43" t="s">
        <v>36</v>
      </c>
      <c r="AF12" s="43" t="s">
        <v>461</v>
      </c>
    </row>
    <row r="13" spans="2:32" x14ac:dyDescent="0.3">
      <c r="B13" s="4">
        <v>10</v>
      </c>
      <c r="C13" s="43" t="s">
        <v>629</v>
      </c>
      <c r="D13" s="43" t="s">
        <v>630</v>
      </c>
      <c r="E13" s="43" t="s">
        <v>30</v>
      </c>
      <c r="F13" s="43" t="s">
        <v>648</v>
      </c>
      <c r="G13" s="134">
        <v>42206</v>
      </c>
      <c r="H13" s="43" t="s">
        <v>32</v>
      </c>
      <c r="I13" s="43" t="s">
        <v>612</v>
      </c>
      <c r="J13" s="142">
        <v>876.45223399999998</v>
      </c>
      <c r="K13" s="142" t="s">
        <v>612</v>
      </c>
      <c r="L13" s="142">
        <v>0</v>
      </c>
      <c r="M13" s="146">
        <v>0</v>
      </c>
      <c r="N13" s="143">
        <f t="shared" si="2"/>
        <v>0</v>
      </c>
      <c r="O13" s="43" t="s">
        <v>97</v>
      </c>
      <c r="P13" s="82">
        <v>11.749723999999999</v>
      </c>
      <c r="Q13" s="82">
        <v>0</v>
      </c>
      <c r="R13" s="145">
        <v>1.7863522686673815E-2</v>
      </c>
      <c r="S13" s="145" t="s">
        <v>612</v>
      </c>
      <c r="T13" s="67">
        <f t="shared" si="0"/>
        <v>68.185371000000004</v>
      </c>
      <c r="U13" s="115">
        <v>0</v>
      </c>
      <c r="V13" s="115">
        <v>68.185371000000004</v>
      </c>
      <c r="W13" s="50">
        <f t="shared" si="1"/>
        <v>5.8031466100820763</v>
      </c>
      <c r="X13" s="145">
        <v>0.21514647949218751</v>
      </c>
      <c r="Y13" s="43" t="s">
        <v>956</v>
      </c>
      <c r="Z13" s="85">
        <f t="shared" si="3"/>
        <v>5.8031466100820763</v>
      </c>
      <c r="AA13" s="43" t="s">
        <v>660</v>
      </c>
      <c r="AB13" s="43" t="s">
        <v>920</v>
      </c>
      <c r="AC13" s="43" t="s">
        <v>672</v>
      </c>
      <c r="AD13" s="43" t="s">
        <v>36</v>
      </c>
      <c r="AE13" s="43" t="s">
        <v>36</v>
      </c>
      <c r="AF13" s="43" t="s">
        <v>461</v>
      </c>
    </row>
    <row r="14" spans="2:32" x14ac:dyDescent="0.3">
      <c r="B14" s="4">
        <v>11</v>
      </c>
      <c r="C14" s="43" t="s">
        <v>433</v>
      </c>
      <c r="D14" s="43" t="s">
        <v>434</v>
      </c>
      <c r="E14" s="43" t="s">
        <v>81</v>
      </c>
      <c r="F14" s="43" t="s">
        <v>127</v>
      </c>
      <c r="G14" s="134">
        <v>42391</v>
      </c>
      <c r="H14" s="43" t="s">
        <v>32</v>
      </c>
      <c r="I14" s="43" t="s">
        <v>612</v>
      </c>
      <c r="J14" s="142">
        <v>1000</v>
      </c>
      <c r="K14" s="142" t="s">
        <v>612</v>
      </c>
      <c r="L14" s="142" t="str">
        <f t="shared" ref="L14:L23" si="4">K14</f>
        <v>N.A</v>
      </c>
      <c r="M14" s="146">
        <v>0</v>
      </c>
      <c r="N14" s="143">
        <f t="shared" si="2"/>
        <v>0</v>
      </c>
      <c r="O14" s="43" t="s">
        <v>97</v>
      </c>
      <c r="P14" s="82">
        <v>10</v>
      </c>
      <c r="Q14" s="82">
        <v>0</v>
      </c>
      <c r="R14" s="145">
        <v>1.17E-2</v>
      </c>
      <c r="S14" s="145" t="s">
        <v>612</v>
      </c>
      <c r="T14" s="67">
        <f t="shared" si="0"/>
        <v>13.440023999999999</v>
      </c>
      <c r="U14" s="115">
        <v>0</v>
      </c>
      <c r="V14" s="115">
        <v>13.440023999999999</v>
      </c>
      <c r="W14" s="50">
        <f t="shared" si="1"/>
        <v>1.3440023999999999</v>
      </c>
      <c r="X14" s="145">
        <v>6.0844907226562495E-2</v>
      </c>
      <c r="Y14" s="43" t="s">
        <v>651</v>
      </c>
      <c r="Z14" s="85">
        <f t="shared" si="3"/>
        <v>1.3440023999999999</v>
      </c>
      <c r="AA14" s="43" t="s">
        <v>436</v>
      </c>
      <c r="AB14" s="43" t="s">
        <v>437</v>
      </c>
      <c r="AC14" s="43" t="s">
        <v>438</v>
      </c>
      <c r="AD14" s="43" t="s">
        <v>36</v>
      </c>
      <c r="AE14" s="43" t="s">
        <v>36</v>
      </c>
      <c r="AF14" s="43" t="s">
        <v>461</v>
      </c>
    </row>
    <row r="15" spans="2:32" x14ac:dyDescent="0.3">
      <c r="B15" s="4">
        <v>12</v>
      </c>
      <c r="C15" s="43" t="s">
        <v>631</v>
      </c>
      <c r="D15" s="43" t="s">
        <v>632</v>
      </c>
      <c r="E15" s="43" t="s">
        <v>348</v>
      </c>
      <c r="F15" s="43" t="s">
        <v>127</v>
      </c>
      <c r="G15" s="134">
        <v>41439</v>
      </c>
      <c r="H15" s="43" t="s">
        <v>32</v>
      </c>
      <c r="I15" s="43" t="s">
        <v>612</v>
      </c>
      <c r="J15" s="142">
        <v>265.79541979999999</v>
      </c>
      <c r="K15" s="142" t="s">
        <v>612</v>
      </c>
      <c r="L15" s="142" t="str">
        <f t="shared" si="4"/>
        <v>N.A</v>
      </c>
      <c r="M15" s="146">
        <v>0</v>
      </c>
      <c r="N15" s="143">
        <f t="shared" si="2"/>
        <v>0</v>
      </c>
      <c r="O15" s="43" t="s">
        <v>97</v>
      </c>
      <c r="P15" s="82">
        <v>16</v>
      </c>
      <c r="Q15" s="82">
        <v>0</v>
      </c>
      <c r="R15" s="145">
        <v>1.4800000000000001E-2</v>
      </c>
      <c r="S15" s="145" t="s">
        <v>612</v>
      </c>
      <c r="T15" s="67">
        <f t="shared" si="0"/>
        <v>19.474287</v>
      </c>
      <c r="U15" s="115">
        <v>0</v>
      </c>
      <c r="V15" s="115">
        <v>19.474287</v>
      </c>
      <c r="W15" s="50">
        <f t="shared" si="1"/>
        <v>1.2171429375</v>
      </c>
      <c r="X15" s="145">
        <v>4.6357573242187505E-2</v>
      </c>
      <c r="Y15" s="43" t="s">
        <v>653</v>
      </c>
      <c r="Z15" s="85">
        <f t="shared" si="3"/>
        <v>1.2171429375</v>
      </c>
      <c r="AA15" s="43" t="s">
        <v>661</v>
      </c>
      <c r="AB15" s="43" t="s">
        <v>681</v>
      </c>
      <c r="AC15" s="43" t="s">
        <v>274</v>
      </c>
      <c r="AD15" s="43" t="s">
        <v>36</v>
      </c>
      <c r="AE15" s="43" t="s">
        <v>60</v>
      </c>
      <c r="AF15" s="43" t="s">
        <v>461</v>
      </c>
    </row>
    <row r="16" spans="2:32" x14ac:dyDescent="0.3">
      <c r="B16" s="4">
        <v>13</v>
      </c>
      <c r="C16" s="43" t="s">
        <v>633</v>
      </c>
      <c r="D16" s="43" t="s">
        <v>634</v>
      </c>
      <c r="E16" s="43" t="s">
        <v>30</v>
      </c>
      <c r="F16" s="43" t="s">
        <v>555</v>
      </c>
      <c r="G16" s="134">
        <v>41971</v>
      </c>
      <c r="H16" s="43" t="s">
        <v>32</v>
      </c>
      <c r="I16" s="43" t="s">
        <v>612</v>
      </c>
      <c r="J16" s="142">
        <v>200</v>
      </c>
      <c r="K16" s="142" t="s">
        <v>612</v>
      </c>
      <c r="L16" s="142" t="str">
        <f t="shared" si="4"/>
        <v>N.A</v>
      </c>
      <c r="M16" s="146">
        <v>0</v>
      </c>
      <c r="N16" s="143">
        <f t="shared" si="2"/>
        <v>0</v>
      </c>
      <c r="O16" s="43" t="s">
        <v>97</v>
      </c>
      <c r="P16" s="82">
        <v>10</v>
      </c>
      <c r="Q16" s="82">
        <v>0</v>
      </c>
      <c r="R16" s="145">
        <v>0.05</v>
      </c>
      <c r="S16" s="145" t="s">
        <v>612</v>
      </c>
      <c r="T16" s="67">
        <f t="shared" si="0"/>
        <v>9.9258099863999991</v>
      </c>
      <c r="U16" s="115">
        <v>0</v>
      </c>
      <c r="V16" s="115">
        <v>9.9258099863999991</v>
      </c>
      <c r="W16" s="50">
        <f t="shared" si="1"/>
        <v>0.99258099863999993</v>
      </c>
      <c r="X16" s="145">
        <v>-1.4679208311475818E-2</v>
      </c>
      <c r="Y16" s="43" t="s">
        <v>654</v>
      </c>
      <c r="Z16" s="85">
        <f t="shared" si="3"/>
        <v>0.99258099863999993</v>
      </c>
      <c r="AA16" s="43" t="s">
        <v>662</v>
      </c>
      <c r="AC16" s="43" t="s">
        <v>673</v>
      </c>
      <c r="AD16" s="43" t="s">
        <v>36</v>
      </c>
      <c r="AE16" s="43" t="s">
        <v>36</v>
      </c>
      <c r="AF16" s="43" t="s">
        <v>461</v>
      </c>
    </row>
    <row r="17" spans="2:32" x14ac:dyDescent="0.3">
      <c r="B17" s="4">
        <v>14</v>
      </c>
      <c r="C17" s="43" t="s">
        <v>635</v>
      </c>
      <c r="D17" s="43" t="s">
        <v>636</v>
      </c>
      <c r="E17" s="43" t="s">
        <v>39</v>
      </c>
      <c r="F17" s="43" t="s">
        <v>127</v>
      </c>
      <c r="G17" s="134">
        <v>42478</v>
      </c>
      <c r="H17" s="43" t="s">
        <v>32</v>
      </c>
      <c r="I17" s="43" t="s">
        <v>612</v>
      </c>
      <c r="J17" s="142">
        <v>884.70634105161605</v>
      </c>
      <c r="K17" s="142" t="s">
        <v>612</v>
      </c>
      <c r="L17" s="142" t="str">
        <f t="shared" si="4"/>
        <v>N.A</v>
      </c>
      <c r="M17" s="146">
        <v>0</v>
      </c>
      <c r="N17" s="143">
        <f t="shared" si="2"/>
        <v>0</v>
      </c>
      <c r="O17" s="43" t="s">
        <v>97</v>
      </c>
      <c r="P17" s="82">
        <v>7.3359839999999998</v>
      </c>
      <c r="Q17" s="82">
        <v>0</v>
      </c>
      <c r="R17" s="145">
        <v>8.2000000000000007E-3</v>
      </c>
      <c r="S17" s="145" t="s">
        <v>612</v>
      </c>
      <c r="T17" s="67">
        <f t="shared" si="0"/>
        <v>7.335984980000001</v>
      </c>
      <c r="U17" s="115">
        <v>0</v>
      </c>
      <c r="V17" s="115">
        <v>7.335984980000001</v>
      </c>
      <c r="W17" s="50">
        <f t="shared" si="1"/>
        <v>1.0000001335880777</v>
      </c>
      <c r="X17" s="145">
        <v>4.3945312500000009E-8</v>
      </c>
      <c r="Y17" s="43" t="s">
        <v>655</v>
      </c>
      <c r="Z17" s="85">
        <f t="shared" si="3"/>
        <v>1.0000001335880777</v>
      </c>
      <c r="AA17" s="43" t="s">
        <v>663</v>
      </c>
      <c r="AB17" s="43" t="s">
        <v>682</v>
      </c>
      <c r="AC17" s="43" t="s">
        <v>274</v>
      </c>
      <c r="AD17" s="43" t="s">
        <v>36</v>
      </c>
      <c r="AE17" s="43" t="s">
        <v>60</v>
      </c>
      <c r="AF17" s="43" t="s">
        <v>461</v>
      </c>
    </row>
    <row r="18" spans="2:32" x14ac:dyDescent="0.3">
      <c r="B18" s="18">
        <v>15</v>
      </c>
      <c r="C18" s="43" t="s">
        <v>637</v>
      </c>
      <c r="D18" s="43" t="s">
        <v>278</v>
      </c>
      <c r="E18" s="43" t="s">
        <v>39</v>
      </c>
      <c r="F18" s="43" t="s">
        <v>55</v>
      </c>
      <c r="G18" s="134">
        <v>42178</v>
      </c>
      <c r="H18" s="43" t="s">
        <v>32</v>
      </c>
      <c r="I18" s="43" t="s">
        <v>612</v>
      </c>
      <c r="J18" s="142">
        <v>3374.9139985000006</v>
      </c>
      <c r="K18" s="142" t="s">
        <v>612</v>
      </c>
      <c r="L18" s="142" t="str">
        <f t="shared" si="4"/>
        <v>N.A</v>
      </c>
      <c r="M18" s="146">
        <v>0</v>
      </c>
      <c r="N18" s="143">
        <f t="shared" si="2"/>
        <v>0</v>
      </c>
      <c r="O18" s="43" t="s">
        <v>97</v>
      </c>
      <c r="P18" s="82">
        <v>3.9000000000000004</v>
      </c>
      <c r="Q18" s="82">
        <v>0</v>
      </c>
      <c r="R18" s="145">
        <v>1.2067925178863891E-3</v>
      </c>
      <c r="S18" s="145" t="s">
        <v>612</v>
      </c>
      <c r="T18" s="67">
        <f t="shared" si="0"/>
        <v>6.067283999999999</v>
      </c>
      <c r="U18" s="115">
        <v>0</v>
      </c>
      <c r="V18" s="115">
        <v>6.067283999999999</v>
      </c>
      <c r="W18" s="50">
        <f t="shared" si="1"/>
        <v>1.5557138461538458</v>
      </c>
      <c r="X18" s="145">
        <v>6.1516743164062498E-2</v>
      </c>
      <c r="Y18" s="43" t="s">
        <v>656</v>
      </c>
      <c r="Z18" s="85">
        <f t="shared" si="3"/>
        <v>1.5557138461538458</v>
      </c>
      <c r="AA18" s="43" t="s">
        <v>280</v>
      </c>
      <c r="AB18" s="43" t="s">
        <v>683</v>
      </c>
      <c r="AC18" s="43" t="s">
        <v>281</v>
      </c>
      <c r="AD18" s="43" t="s">
        <v>36</v>
      </c>
      <c r="AE18" s="43" t="s">
        <v>36</v>
      </c>
      <c r="AF18" s="43" t="s">
        <v>461</v>
      </c>
    </row>
    <row r="19" spans="2:32" x14ac:dyDescent="0.3">
      <c r="B19" s="4">
        <v>16</v>
      </c>
      <c r="C19" s="43" t="s">
        <v>638</v>
      </c>
      <c r="D19" s="43" t="s">
        <v>639</v>
      </c>
      <c r="E19" s="43" t="s">
        <v>39</v>
      </c>
      <c r="F19" s="43" t="s">
        <v>40</v>
      </c>
      <c r="G19" s="134">
        <v>42041</v>
      </c>
      <c r="H19" s="43" t="s">
        <v>32</v>
      </c>
      <c r="I19" s="43" t="s">
        <v>612</v>
      </c>
      <c r="J19" s="142">
        <v>270.17502000000002</v>
      </c>
      <c r="K19" s="142" t="s">
        <v>612</v>
      </c>
      <c r="L19" s="142" t="str">
        <f t="shared" si="4"/>
        <v>N.A</v>
      </c>
      <c r="M19" s="146">
        <v>0</v>
      </c>
      <c r="N19" s="143">
        <f t="shared" si="2"/>
        <v>0</v>
      </c>
      <c r="O19" s="43" t="s">
        <v>191</v>
      </c>
      <c r="P19" s="82">
        <v>5.4</v>
      </c>
      <c r="Q19" s="157">
        <v>0</v>
      </c>
      <c r="R19" s="145">
        <v>1.3673390224980606E-2</v>
      </c>
      <c r="S19" s="145" t="s">
        <v>612</v>
      </c>
      <c r="T19" s="67">
        <f t="shared" si="0"/>
        <v>0.62579499999999999</v>
      </c>
      <c r="U19" s="115">
        <v>0</v>
      </c>
      <c r="V19" s="115">
        <v>0.62579499999999999</v>
      </c>
      <c r="W19" s="50">
        <f t="shared" si="1"/>
        <v>0.11588796296296296</v>
      </c>
      <c r="X19" s="145" t="s">
        <v>49</v>
      </c>
      <c r="Y19" s="43" t="s">
        <v>957</v>
      </c>
      <c r="Z19" s="85">
        <f t="shared" si="3"/>
        <v>0.11588796296296296</v>
      </c>
      <c r="AA19" s="43" t="s">
        <v>664</v>
      </c>
      <c r="AB19" s="43" t="s">
        <v>684</v>
      </c>
      <c r="AC19" s="43" t="s">
        <v>274</v>
      </c>
      <c r="AD19" s="43" t="s">
        <v>69</v>
      </c>
      <c r="AE19" s="43" t="s">
        <v>36</v>
      </c>
      <c r="AF19" s="43" t="s">
        <v>568</v>
      </c>
    </row>
    <row r="20" spans="2:32" x14ac:dyDescent="0.3">
      <c r="B20" s="4">
        <v>17</v>
      </c>
      <c r="C20" s="43" t="s">
        <v>640</v>
      </c>
      <c r="D20" s="43" t="s">
        <v>687</v>
      </c>
      <c r="E20" s="43" t="s">
        <v>81</v>
      </c>
      <c r="F20" s="43" t="s">
        <v>271</v>
      </c>
      <c r="G20" s="134">
        <v>41710</v>
      </c>
      <c r="H20" s="43" t="s">
        <v>32</v>
      </c>
      <c r="I20" s="43" t="s">
        <v>612</v>
      </c>
      <c r="J20" s="142">
        <v>212.798734</v>
      </c>
      <c r="K20" s="142" t="s">
        <v>612</v>
      </c>
      <c r="L20" s="142" t="str">
        <f t="shared" si="4"/>
        <v>N.A</v>
      </c>
      <c r="M20" s="146">
        <v>0</v>
      </c>
      <c r="N20" s="143">
        <f t="shared" si="2"/>
        <v>0</v>
      </c>
      <c r="O20" s="43" t="s">
        <v>191</v>
      </c>
      <c r="P20" s="82">
        <v>12.2</v>
      </c>
      <c r="Q20" s="157">
        <v>0</v>
      </c>
      <c r="R20" s="145">
        <v>6.1400895087888131E-2</v>
      </c>
      <c r="S20" s="145" t="s">
        <v>612</v>
      </c>
      <c r="T20" s="67">
        <f t="shared" si="0"/>
        <v>2.696E-3</v>
      </c>
      <c r="U20" s="115">
        <v>0</v>
      </c>
      <c r="V20" s="115">
        <v>2.696E-3</v>
      </c>
      <c r="W20" s="50">
        <f t="shared" si="1"/>
        <v>2.2098360655737706E-4</v>
      </c>
      <c r="X20" s="145" t="s">
        <v>49</v>
      </c>
      <c r="Y20" s="43" t="s">
        <v>957</v>
      </c>
      <c r="Z20" s="85">
        <f t="shared" si="3"/>
        <v>2.2098360655737706E-4</v>
      </c>
      <c r="AA20" s="43" t="s">
        <v>665</v>
      </c>
      <c r="AC20" s="43" t="s">
        <v>73</v>
      </c>
      <c r="AD20" s="43" t="s">
        <v>36</v>
      </c>
      <c r="AE20" s="43" t="s">
        <v>60</v>
      </c>
      <c r="AF20" s="43" t="s">
        <v>568</v>
      </c>
    </row>
    <row r="21" spans="2:32" x14ac:dyDescent="0.3">
      <c r="B21" s="4">
        <v>18</v>
      </c>
      <c r="C21" s="43" t="s">
        <v>641</v>
      </c>
      <c r="D21" s="43" t="s">
        <v>642</v>
      </c>
      <c r="E21" s="43" t="s">
        <v>220</v>
      </c>
      <c r="F21" s="43" t="s">
        <v>647</v>
      </c>
      <c r="G21" s="134">
        <v>41741</v>
      </c>
      <c r="H21" s="43" t="s">
        <v>32</v>
      </c>
      <c r="I21" s="43" t="s">
        <v>612</v>
      </c>
      <c r="J21" s="142">
        <v>157.54723000000001</v>
      </c>
      <c r="K21" s="142" t="s">
        <v>612</v>
      </c>
      <c r="L21" s="142" t="str">
        <f t="shared" si="4"/>
        <v>N.A</v>
      </c>
      <c r="M21" s="146">
        <v>0</v>
      </c>
      <c r="N21" s="143">
        <f t="shared" si="2"/>
        <v>0</v>
      </c>
      <c r="O21" s="43" t="s">
        <v>191</v>
      </c>
      <c r="P21" s="82">
        <v>3.8</v>
      </c>
      <c r="Q21" s="157">
        <v>0</v>
      </c>
      <c r="R21" s="145">
        <v>2.3804061804196745E-2</v>
      </c>
      <c r="S21" s="145" t="s">
        <v>612</v>
      </c>
      <c r="T21" s="67">
        <f t="shared" si="0"/>
        <v>0.36338399999999998</v>
      </c>
      <c r="U21" s="115">
        <v>0</v>
      </c>
      <c r="V21" s="115">
        <v>0.36338399999999998</v>
      </c>
      <c r="W21" s="50">
        <f t="shared" si="1"/>
        <v>9.5627368421052628E-2</v>
      </c>
      <c r="X21" s="145" t="s">
        <v>49</v>
      </c>
      <c r="Y21" s="43" t="s">
        <v>957</v>
      </c>
      <c r="Z21" s="85">
        <f t="shared" si="3"/>
        <v>9.5627368421052628E-2</v>
      </c>
      <c r="AA21" s="43" t="s">
        <v>666</v>
      </c>
      <c r="AB21" s="43" t="s">
        <v>685</v>
      </c>
      <c r="AC21" s="43" t="s">
        <v>438</v>
      </c>
      <c r="AD21" s="43" t="s">
        <v>36</v>
      </c>
      <c r="AE21" s="43" t="s">
        <v>36</v>
      </c>
      <c r="AF21" s="43" t="s">
        <v>568</v>
      </c>
    </row>
    <row r="22" spans="2:32" x14ac:dyDescent="0.3">
      <c r="B22" s="4">
        <v>19</v>
      </c>
      <c r="C22" s="43" t="s">
        <v>643</v>
      </c>
      <c r="D22" s="43" t="s">
        <v>644</v>
      </c>
      <c r="E22" s="43" t="s">
        <v>81</v>
      </c>
      <c r="F22" s="43" t="s">
        <v>127</v>
      </c>
      <c r="G22" s="134">
        <v>42093</v>
      </c>
      <c r="H22" s="43" t="s">
        <v>32</v>
      </c>
      <c r="I22" s="43" t="s">
        <v>612</v>
      </c>
      <c r="J22" s="142">
        <v>389.97214484679671</v>
      </c>
      <c r="K22" s="142" t="s">
        <v>612</v>
      </c>
      <c r="L22" s="142" t="str">
        <f t="shared" si="4"/>
        <v>N.A</v>
      </c>
      <c r="M22" s="146">
        <v>0</v>
      </c>
      <c r="N22" s="143">
        <f t="shared" si="2"/>
        <v>0</v>
      </c>
      <c r="O22" s="43" t="s">
        <v>191</v>
      </c>
      <c r="P22" s="82">
        <v>2.5</v>
      </c>
      <c r="Q22" s="157">
        <v>0</v>
      </c>
      <c r="R22" s="145">
        <v>8.4659668134100911E-3</v>
      </c>
      <c r="S22" s="145" t="s">
        <v>612</v>
      </c>
      <c r="T22" s="67">
        <f t="shared" si="0"/>
        <v>0</v>
      </c>
      <c r="U22" s="115">
        <v>0</v>
      </c>
      <c r="V22" s="115">
        <v>0</v>
      </c>
      <c r="W22" s="50">
        <f t="shared" si="1"/>
        <v>0</v>
      </c>
      <c r="X22" s="145" t="s">
        <v>49</v>
      </c>
      <c r="Y22" s="43" t="s">
        <v>957</v>
      </c>
      <c r="Z22" s="85">
        <f t="shared" si="3"/>
        <v>0</v>
      </c>
      <c r="AA22" s="43" t="s">
        <v>667</v>
      </c>
      <c r="AB22" s="43" t="s">
        <v>886</v>
      </c>
      <c r="AC22" s="43" t="s">
        <v>674</v>
      </c>
      <c r="AD22" s="43" t="s">
        <v>36</v>
      </c>
      <c r="AE22" s="43" t="s">
        <v>36</v>
      </c>
      <c r="AF22" s="43" t="s">
        <v>568</v>
      </c>
    </row>
    <row r="23" spans="2:32" x14ac:dyDescent="0.3">
      <c r="B23" s="4">
        <v>20</v>
      </c>
      <c r="C23" s="43" t="s">
        <v>645</v>
      </c>
      <c r="D23" s="43" t="s">
        <v>686</v>
      </c>
      <c r="E23" s="43" t="s">
        <v>63</v>
      </c>
      <c r="F23" s="43" t="s">
        <v>648</v>
      </c>
      <c r="G23" s="134">
        <v>41912</v>
      </c>
      <c r="H23" s="43" t="s">
        <v>32</v>
      </c>
      <c r="I23" s="43" t="s">
        <v>612</v>
      </c>
      <c r="J23" s="142">
        <v>177.60000000000002</v>
      </c>
      <c r="K23" s="142" t="s">
        <v>612</v>
      </c>
      <c r="L23" s="142" t="str">
        <f t="shared" si="4"/>
        <v>N.A</v>
      </c>
      <c r="M23" s="146">
        <v>0</v>
      </c>
      <c r="N23" s="143">
        <f t="shared" si="2"/>
        <v>0</v>
      </c>
      <c r="O23" s="43" t="s">
        <v>191</v>
      </c>
      <c r="P23" s="82">
        <v>11.200000000000001</v>
      </c>
      <c r="Q23" s="157">
        <v>0</v>
      </c>
      <c r="R23" s="145">
        <v>3.3783783783783779E-2</v>
      </c>
      <c r="S23" s="145" t="s">
        <v>612</v>
      </c>
      <c r="T23" s="67">
        <f t="shared" si="0"/>
        <v>0</v>
      </c>
      <c r="U23" s="115">
        <v>0</v>
      </c>
      <c r="V23" s="115">
        <v>0</v>
      </c>
      <c r="W23" s="50">
        <f t="shared" si="1"/>
        <v>0</v>
      </c>
      <c r="X23" s="145" t="s">
        <v>49</v>
      </c>
      <c r="Y23" s="43" t="s">
        <v>957</v>
      </c>
      <c r="Z23" s="85">
        <f t="shared" si="3"/>
        <v>0</v>
      </c>
      <c r="AA23" s="43" t="s">
        <v>668</v>
      </c>
      <c r="AB23" s="43" t="s">
        <v>671</v>
      </c>
      <c r="AC23" s="43" t="s">
        <v>675</v>
      </c>
      <c r="AD23" s="43" t="s">
        <v>36</v>
      </c>
      <c r="AE23" s="43" t="s">
        <v>36</v>
      </c>
      <c r="AF23" s="43" t="s">
        <v>568</v>
      </c>
    </row>
    <row r="24" spans="2:32" x14ac:dyDescent="0.3">
      <c r="B24" s="44"/>
      <c r="C24" s="44"/>
      <c r="D24" s="44"/>
      <c r="E24" s="44"/>
      <c r="F24" s="44"/>
      <c r="G24" s="44"/>
      <c r="H24" s="44"/>
      <c r="I24" s="44"/>
      <c r="J24" s="44"/>
      <c r="K24" s="44"/>
      <c r="L24" s="156"/>
      <c r="M24" s="44"/>
      <c r="N24" s="44"/>
      <c r="O24" s="44"/>
      <c r="P24" s="55">
        <f>SUM(P4:P23)</f>
        <v>224.97682399999997</v>
      </c>
      <c r="Q24" s="56">
        <f>SUM(Q4:Q23)</f>
        <v>15.919295487848784</v>
      </c>
      <c r="R24" s="44"/>
      <c r="S24" s="44"/>
      <c r="T24" s="55">
        <f>SUM(T4:T23)</f>
        <v>1634.9276228442652</v>
      </c>
      <c r="U24" s="56">
        <f>SUM(U4:U23)</f>
        <v>45.116942649254824</v>
      </c>
      <c r="V24" s="56">
        <f>SUM(V4:V23)</f>
        <v>1589.81068019501</v>
      </c>
      <c r="W24" s="55">
        <f t="shared" si="1"/>
        <v>7.267093533351086</v>
      </c>
      <c r="X24" s="45">
        <v>0.34147081542968749</v>
      </c>
      <c r="Y24" s="44"/>
      <c r="Z24" s="44"/>
      <c r="AA24" s="44"/>
      <c r="AB24" s="44"/>
      <c r="AC24" s="44"/>
      <c r="AD24" s="44"/>
      <c r="AE24" s="44"/>
      <c r="AF24" s="44"/>
    </row>
    <row r="25" spans="2:32" x14ac:dyDescent="0.3">
      <c r="G25" s="134"/>
    </row>
    <row r="26" spans="2:32" x14ac:dyDescent="0.3">
      <c r="G26" s="134"/>
    </row>
    <row r="27" spans="2:32" x14ac:dyDescent="0.3">
      <c r="C27" s="43" t="s">
        <v>264</v>
      </c>
      <c r="G27" s="134"/>
    </row>
    <row r="28" spans="2:32" x14ac:dyDescent="0.3">
      <c r="G28" s="134"/>
    </row>
    <row r="29" spans="2:32" x14ac:dyDescent="0.3">
      <c r="G29" s="134"/>
    </row>
    <row r="30" spans="2:32" x14ac:dyDescent="0.3">
      <c r="G30" s="134"/>
    </row>
    <row r="31" spans="2:32" x14ac:dyDescent="0.3">
      <c r="G31" s="134"/>
    </row>
    <row r="32" spans="2:32" x14ac:dyDescent="0.3">
      <c r="G32" s="134"/>
    </row>
    <row r="33" spans="7:7" x14ac:dyDescent="0.3">
      <c r="G33" s="134"/>
    </row>
    <row r="34" spans="7:7" x14ac:dyDescent="0.3">
      <c r="G34" s="134"/>
    </row>
    <row r="35" spans="7:7" x14ac:dyDescent="0.3">
      <c r="G35" s="134"/>
    </row>
    <row r="36" spans="7:7" x14ac:dyDescent="0.3">
      <c r="G36" s="134"/>
    </row>
    <row r="37" spans="7:7" x14ac:dyDescent="0.3">
      <c r="G37" s="134"/>
    </row>
    <row r="38" spans="7:7" x14ac:dyDescent="0.3">
      <c r="G38" s="134"/>
    </row>
    <row r="39" spans="7:7" x14ac:dyDescent="0.3">
      <c r="G39" s="134"/>
    </row>
    <row r="40" spans="7:7" x14ac:dyDescent="0.3">
      <c r="G40" s="134"/>
    </row>
    <row r="41" spans="7:7" x14ac:dyDescent="0.3">
      <c r="G41" s="134"/>
    </row>
    <row r="42" spans="7:7" x14ac:dyDescent="0.3">
      <c r="G42" s="134"/>
    </row>
    <row r="43" spans="7:7" x14ac:dyDescent="0.3">
      <c r="G43" s="134"/>
    </row>
    <row r="44" spans="7:7" x14ac:dyDescent="0.3">
      <c r="G44" s="134"/>
    </row>
    <row r="45" spans="7:7" x14ac:dyDescent="0.3">
      <c r="G45" s="134"/>
    </row>
    <row r="46" spans="7:7" x14ac:dyDescent="0.3">
      <c r="G46" s="134"/>
    </row>
    <row r="47" spans="7:7" x14ac:dyDescent="0.3">
      <c r="G47" s="134"/>
    </row>
    <row r="48" spans="7:7" x14ac:dyDescent="0.3">
      <c r="G48" s="134"/>
    </row>
    <row r="49" spans="7:7" x14ac:dyDescent="0.3">
      <c r="G49" s="134"/>
    </row>
    <row r="50" spans="7:7" x14ac:dyDescent="0.3">
      <c r="G50" s="134"/>
    </row>
    <row r="51" spans="7:7" x14ac:dyDescent="0.3">
      <c r="G51" s="134"/>
    </row>
    <row r="52" spans="7:7" x14ac:dyDescent="0.3">
      <c r="G52" s="134"/>
    </row>
    <row r="53" spans="7:7" x14ac:dyDescent="0.3">
      <c r="G53" s="13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J56"/>
  <sheetViews>
    <sheetView showGridLines="0" workbookViewId="0">
      <pane xSplit="4" ySplit="3" topLeftCell="W36" activePane="bottomRight" state="frozen"/>
      <selection pane="topRight" activeCell="E1" sqref="E1"/>
      <selection pane="bottomLeft" activeCell="A4" sqref="A4"/>
      <selection pane="bottomRight" activeCell="Z48" sqref="Z48"/>
    </sheetView>
  </sheetViews>
  <sheetFormatPr defaultColWidth="8.6328125" defaultRowHeight="13" x14ac:dyDescent="0.3"/>
  <cols>
    <col min="1" max="1" width="4.08984375" style="43" customWidth="1"/>
    <col min="2" max="2" width="8.6328125" style="4"/>
    <col min="3" max="3" width="38.36328125" style="43" customWidth="1"/>
    <col min="4" max="4" width="21.90625" style="43" customWidth="1"/>
    <col min="5" max="5" width="14.6328125" style="43" customWidth="1"/>
    <col min="6" max="6" width="22.36328125" style="43" bestFit="1" customWidth="1"/>
    <col min="7" max="7" width="14.6328125" style="43" customWidth="1"/>
    <col min="8" max="8" width="16.90625" style="43" customWidth="1"/>
    <col min="9" max="9" width="16.6328125" style="43" customWidth="1"/>
    <col min="10" max="10" width="15" style="43" bestFit="1" customWidth="1"/>
    <col min="11" max="12" width="18.36328125" style="43" bestFit="1" customWidth="1"/>
    <col min="13" max="13" width="16" style="43" bestFit="1" customWidth="1"/>
    <col min="14" max="14" width="15.6328125" style="43" bestFit="1" customWidth="1"/>
    <col min="15" max="15" width="16.6328125" style="43" customWidth="1"/>
    <col min="16" max="17" width="18.6328125" style="51" customWidth="1"/>
    <col min="18" max="19" width="18.6328125" style="43" customWidth="1"/>
    <col min="20" max="22" width="18.6328125" style="67" customWidth="1"/>
    <col min="23" max="24" width="18.6328125" style="43" customWidth="1"/>
    <col min="25" max="25" width="15.54296875" style="43" customWidth="1"/>
    <col min="26" max="26" width="9.453125" style="43" customWidth="1"/>
    <col min="27" max="27" width="38.54296875" style="8" customWidth="1"/>
    <col min="28" max="28" width="55.453125" style="43" customWidth="1"/>
    <col min="29" max="29" width="46.6328125" style="43" bestFit="1" customWidth="1"/>
    <col min="30" max="30" width="17.453125" style="43" bestFit="1" customWidth="1"/>
    <col min="31" max="31" width="12" style="43" customWidth="1"/>
    <col min="32" max="32" width="11.08984375" style="43" customWidth="1"/>
    <col min="33" max="16384" width="8.6328125" style="43"/>
  </cols>
  <sheetData>
    <row r="1" spans="2:36" s="121" customFormat="1" x14ac:dyDescent="0.3">
      <c r="B1" s="9"/>
      <c r="D1" s="136"/>
      <c r="P1" s="137"/>
      <c r="T1" s="138"/>
      <c r="U1" s="138"/>
      <c r="V1" s="138"/>
      <c r="AA1" s="10"/>
      <c r="AI1" s="136"/>
      <c r="AJ1" s="139"/>
    </row>
    <row r="2" spans="2:36" ht="39" x14ac:dyDescent="0.3">
      <c r="B2" s="40" t="s">
        <v>0</v>
      </c>
      <c r="C2" s="40" t="s">
        <v>1</v>
      </c>
      <c r="D2" s="40" t="s">
        <v>2</v>
      </c>
      <c r="E2" s="40" t="s">
        <v>3</v>
      </c>
      <c r="F2" s="40" t="s">
        <v>4</v>
      </c>
      <c r="G2" s="40" t="s">
        <v>5</v>
      </c>
      <c r="H2" s="40" t="s">
        <v>6</v>
      </c>
      <c r="I2" s="40" t="s">
        <v>7</v>
      </c>
      <c r="J2" s="40" t="s">
        <v>8</v>
      </c>
      <c r="K2" s="40" t="s">
        <v>9</v>
      </c>
      <c r="L2" s="41" t="s">
        <v>10</v>
      </c>
      <c r="M2" s="41" t="s">
        <v>11</v>
      </c>
      <c r="N2" s="41" t="s">
        <v>12</v>
      </c>
      <c r="O2" s="40" t="s">
        <v>13</v>
      </c>
      <c r="P2" s="140" t="s">
        <v>14</v>
      </c>
      <c r="Q2" s="140" t="s">
        <v>15</v>
      </c>
      <c r="R2" s="41" t="s">
        <v>621</v>
      </c>
      <c r="S2" s="41" t="s">
        <v>622</v>
      </c>
      <c r="T2" s="73" t="s">
        <v>16</v>
      </c>
      <c r="U2" s="73" t="s">
        <v>17</v>
      </c>
      <c r="V2" s="73" t="s">
        <v>18</v>
      </c>
      <c r="W2" s="40" t="s">
        <v>19</v>
      </c>
      <c r="X2" s="41" t="s">
        <v>1130</v>
      </c>
      <c r="Y2" s="41" t="s">
        <v>20</v>
      </c>
      <c r="Z2" s="41" t="s">
        <v>21</v>
      </c>
      <c r="AA2" s="41" t="s">
        <v>22</v>
      </c>
      <c r="AB2" s="40" t="s">
        <v>955</v>
      </c>
      <c r="AC2" s="40" t="s">
        <v>23</v>
      </c>
      <c r="AD2" s="40" t="s">
        <v>24</v>
      </c>
      <c r="AE2" s="40" t="s">
        <v>25</v>
      </c>
      <c r="AF2" s="40" t="s">
        <v>265</v>
      </c>
    </row>
    <row r="3" spans="2:36" x14ac:dyDescent="0.3">
      <c r="B3" s="44"/>
      <c r="C3" s="44"/>
      <c r="D3" s="44"/>
      <c r="E3" s="44"/>
      <c r="F3" s="44"/>
      <c r="G3" s="44" t="s">
        <v>26</v>
      </c>
      <c r="H3" s="44"/>
      <c r="I3" s="44"/>
      <c r="J3" s="44" t="s">
        <v>1129</v>
      </c>
      <c r="K3" s="44" t="s">
        <v>1129</v>
      </c>
      <c r="L3" s="44" t="s">
        <v>1129</v>
      </c>
      <c r="M3" s="44"/>
      <c r="N3" s="44" t="s">
        <v>1129</v>
      </c>
      <c r="O3" s="44"/>
      <c r="P3" s="44" t="s">
        <v>1129</v>
      </c>
      <c r="Q3" s="44" t="s">
        <v>1129</v>
      </c>
      <c r="R3" s="44" t="s">
        <v>27</v>
      </c>
      <c r="S3" s="44" t="s">
        <v>27</v>
      </c>
      <c r="T3" s="44" t="s">
        <v>1129</v>
      </c>
      <c r="U3" s="44" t="s">
        <v>1129</v>
      </c>
      <c r="V3" s="44" t="s">
        <v>1129</v>
      </c>
      <c r="W3" s="44" t="s">
        <v>268</v>
      </c>
      <c r="X3" s="44" t="s">
        <v>27</v>
      </c>
      <c r="Y3" s="44"/>
      <c r="Z3" s="44"/>
      <c r="AA3" s="141"/>
      <c r="AB3" s="44"/>
      <c r="AC3" s="44"/>
      <c r="AD3" s="44"/>
      <c r="AE3" s="44"/>
      <c r="AF3" s="44"/>
    </row>
    <row r="4" spans="2:36" x14ac:dyDescent="0.3">
      <c r="B4" s="4">
        <v>1</v>
      </c>
      <c r="C4" s="43" t="s">
        <v>28</v>
      </c>
      <c r="D4" s="43" t="s">
        <v>29</v>
      </c>
      <c r="E4" s="43" t="s">
        <v>30</v>
      </c>
      <c r="F4" s="43" t="s">
        <v>31</v>
      </c>
      <c r="G4" s="134">
        <v>42338</v>
      </c>
      <c r="H4" s="43" t="s">
        <v>32</v>
      </c>
      <c r="I4" s="43" t="s">
        <v>33</v>
      </c>
      <c r="J4" s="142">
        <v>325.80705999999998</v>
      </c>
      <c r="K4" s="142">
        <v>251219.20183999999</v>
      </c>
      <c r="L4" s="143">
        <f>K4</f>
        <v>251219.20183999999</v>
      </c>
      <c r="M4" s="144">
        <v>0.91281097419204804</v>
      </c>
      <c r="N4" s="143">
        <f>L4*(1-M4)</f>
        <v>21903.557472680852</v>
      </c>
      <c r="O4" s="43" t="s">
        <v>1096</v>
      </c>
      <c r="P4" s="79">
        <v>134.37435300000001</v>
      </c>
      <c r="Q4" s="51">
        <f>P4</f>
        <v>134.37435300000001</v>
      </c>
      <c r="R4" s="145">
        <v>7.4183976261127604E-2</v>
      </c>
      <c r="S4" s="145">
        <v>2.7799999999999998E-2</v>
      </c>
      <c r="T4" s="67">
        <f t="shared" ref="T4:T35" si="0">U4+V4</f>
        <v>289.29428100000001</v>
      </c>
      <c r="U4" s="82">
        <v>289.29428100000001</v>
      </c>
      <c r="V4" s="82">
        <v>0</v>
      </c>
      <c r="W4" s="50">
        <f t="shared" ref="W4:W35" si="1">T4/P4</f>
        <v>2.1528980385118577</v>
      </c>
      <c r="X4" s="145">
        <v>9.021209180355072E-2</v>
      </c>
      <c r="Z4" s="50"/>
      <c r="AA4" s="43" t="s">
        <v>34</v>
      </c>
      <c r="AB4" s="43" t="s">
        <v>580</v>
      </c>
      <c r="AC4" s="43" t="s">
        <v>35</v>
      </c>
      <c r="AD4" s="43" t="s">
        <v>36</v>
      </c>
      <c r="AE4" s="43" t="s">
        <v>36</v>
      </c>
      <c r="AF4" s="43" t="s">
        <v>275</v>
      </c>
    </row>
    <row r="5" spans="2:36" x14ac:dyDescent="0.3">
      <c r="B5" s="4">
        <v>2</v>
      </c>
      <c r="C5" s="43" t="s">
        <v>37</v>
      </c>
      <c r="D5" s="43" t="s">
        <v>38</v>
      </c>
      <c r="E5" s="43" t="s">
        <v>39</v>
      </c>
      <c r="F5" s="43" t="s">
        <v>40</v>
      </c>
      <c r="G5" s="134">
        <v>42447</v>
      </c>
      <c r="H5" s="43" t="s">
        <v>32</v>
      </c>
      <c r="I5" s="43" t="s">
        <v>47</v>
      </c>
      <c r="J5" s="142">
        <v>299.75319999999999</v>
      </c>
      <c r="K5" s="142">
        <v>96707.808209830007</v>
      </c>
      <c r="L5" s="143">
        <f>K5</f>
        <v>96707.808209830007</v>
      </c>
      <c r="M5" s="144">
        <v>0.105870675169151</v>
      </c>
      <c r="N5" s="143">
        <f t="shared" ref="N5:N14" si="2">L5*(1-M5)</f>
        <v>86469.287260526544</v>
      </c>
      <c r="O5" s="43" t="s">
        <v>1024</v>
      </c>
      <c r="P5" s="79">
        <v>91.965892199999985</v>
      </c>
      <c r="Q5" s="79">
        <v>43.408816752713193</v>
      </c>
      <c r="R5" s="145">
        <v>0.10006673340006673</v>
      </c>
      <c r="S5" s="145">
        <v>2.4102379118085805E-2</v>
      </c>
      <c r="T5" s="67">
        <f t="shared" si="0"/>
        <v>3995.265921782332</v>
      </c>
      <c r="U5" s="82">
        <v>2107.786782742332</v>
      </c>
      <c r="V5" s="82">
        <v>1887.4791390400001</v>
      </c>
      <c r="W5" s="50">
        <f t="shared" si="1"/>
        <v>43.442909389643617</v>
      </c>
      <c r="X5" s="145">
        <v>0.70640910863876361</v>
      </c>
      <c r="Y5" s="43" t="s">
        <v>1035</v>
      </c>
      <c r="Z5" s="50">
        <f>V5/(P5-Q5)</f>
        <v>38.871351325287982</v>
      </c>
      <c r="AA5" s="43" t="s">
        <v>42</v>
      </c>
      <c r="AB5" s="43" t="s">
        <v>994</v>
      </c>
      <c r="AC5" s="43" t="s">
        <v>35</v>
      </c>
      <c r="AD5" s="43" t="s">
        <v>43</v>
      </c>
      <c r="AE5" s="43" t="s">
        <v>43</v>
      </c>
      <c r="AF5" s="43" t="s">
        <v>689</v>
      </c>
    </row>
    <row r="6" spans="2:36" x14ac:dyDescent="0.3">
      <c r="B6" s="4">
        <v>3</v>
      </c>
      <c r="C6" s="43" t="s">
        <v>44</v>
      </c>
      <c r="D6" s="43" t="s">
        <v>45</v>
      </c>
      <c r="E6" s="43" t="s">
        <v>30</v>
      </c>
      <c r="F6" s="43" t="s">
        <v>46</v>
      </c>
      <c r="G6" s="134">
        <v>42223</v>
      </c>
      <c r="H6" s="43" t="s">
        <v>32</v>
      </c>
      <c r="I6" s="43" t="s">
        <v>47</v>
      </c>
      <c r="J6" s="142">
        <v>159.99600000000001</v>
      </c>
      <c r="K6" s="142">
        <v>60913.134579804959</v>
      </c>
      <c r="L6" s="143">
        <v>772</v>
      </c>
      <c r="M6" s="144">
        <v>1</v>
      </c>
      <c r="N6" s="143">
        <f t="shared" si="2"/>
        <v>0</v>
      </c>
      <c r="O6" s="43" t="s">
        <v>48</v>
      </c>
      <c r="P6" s="79">
        <v>99.780114999999995</v>
      </c>
      <c r="Q6" s="51">
        <f t="shared" ref="Q6:Q8" si="3">P6</f>
        <v>99.780114999999995</v>
      </c>
      <c r="R6" s="145">
        <v>0.14000000000000001</v>
      </c>
      <c r="S6" s="145">
        <v>2.4500000000000001E-2</v>
      </c>
      <c r="T6" s="67">
        <f t="shared" si="0"/>
        <v>0</v>
      </c>
      <c r="U6" s="82">
        <v>0</v>
      </c>
      <c r="V6" s="82">
        <v>0</v>
      </c>
      <c r="W6" s="50">
        <f t="shared" si="1"/>
        <v>0</v>
      </c>
      <c r="X6" s="145" t="s">
        <v>49</v>
      </c>
      <c r="Z6" s="50"/>
      <c r="AA6" s="43" t="s">
        <v>50</v>
      </c>
      <c r="AB6" s="43" t="s">
        <v>581</v>
      </c>
      <c r="AC6" s="43" t="s">
        <v>51</v>
      </c>
      <c r="AD6" s="43" t="s">
        <v>615</v>
      </c>
      <c r="AE6" s="43" t="s">
        <v>36</v>
      </c>
      <c r="AF6" s="43" t="s">
        <v>552</v>
      </c>
    </row>
    <row r="7" spans="2:36" x14ac:dyDescent="0.3">
      <c r="B7" s="4">
        <v>4</v>
      </c>
      <c r="C7" s="43" t="s">
        <v>53</v>
      </c>
      <c r="D7" s="43" t="s">
        <v>54</v>
      </c>
      <c r="E7" s="43" t="s">
        <v>30</v>
      </c>
      <c r="F7" s="43" t="s">
        <v>55</v>
      </c>
      <c r="G7" s="134">
        <v>42275</v>
      </c>
      <c r="H7" s="43" t="s">
        <v>56</v>
      </c>
      <c r="I7" s="43" t="s">
        <v>988</v>
      </c>
      <c r="J7" s="142">
        <v>133.3039</v>
      </c>
      <c r="K7" s="142">
        <v>19454.7648189748</v>
      </c>
      <c r="L7" s="143">
        <f>K7</f>
        <v>19454.7648189748</v>
      </c>
      <c r="M7" s="146">
        <v>0</v>
      </c>
      <c r="N7" s="143">
        <f t="shared" si="2"/>
        <v>19454.7648189748</v>
      </c>
      <c r="O7" s="43" t="s">
        <v>970</v>
      </c>
      <c r="P7" s="79">
        <v>94.195657970000042</v>
      </c>
      <c r="Q7" s="51">
        <f t="shared" si="3"/>
        <v>94.195657970000042</v>
      </c>
      <c r="R7" s="145">
        <v>0.15003750937734434</v>
      </c>
      <c r="S7" s="145">
        <v>8.10933546018969E-2</v>
      </c>
      <c r="T7" s="67">
        <f t="shared" si="0"/>
        <v>1577.652142161636</v>
      </c>
      <c r="U7" s="82">
        <v>1577.652142161636</v>
      </c>
      <c r="V7" s="82">
        <v>0</v>
      </c>
      <c r="W7" s="50">
        <f t="shared" si="1"/>
        <v>16.74867160717849</v>
      </c>
      <c r="X7" s="145">
        <v>0.36665380597114561</v>
      </c>
      <c r="Z7" s="50"/>
      <c r="AA7" s="43" t="s">
        <v>58</v>
      </c>
      <c r="AB7" s="43" t="s">
        <v>570</v>
      </c>
      <c r="AC7" s="43" t="s">
        <v>59</v>
      </c>
      <c r="AD7" s="43" t="s">
        <v>615</v>
      </c>
      <c r="AE7" s="43" t="s">
        <v>60</v>
      </c>
      <c r="AF7" s="43" t="s">
        <v>275</v>
      </c>
    </row>
    <row r="8" spans="2:36" x14ac:dyDescent="0.3">
      <c r="B8" s="4">
        <v>5</v>
      </c>
      <c r="C8" s="43" t="s">
        <v>61</v>
      </c>
      <c r="D8" s="43" t="s">
        <v>62</v>
      </c>
      <c r="E8" s="43" t="s">
        <v>63</v>
      </c>
      <c r="F8" s="43" t="s">
        <v>64</v>
      </c>
      <c r="G8" s="134">
        <v>42543</v>
      </c>
      <c r="H8" s="43" t="s">
        <v>65</v>
      </c>
      <c r="I8" s="43" t="s">
        <v>66</v>
      </c>
      <c r="J8" s="142">
        <v>400.10690127999999</v>
      </c>
      <c r="K8" s="142">
        <v>7029.5270621972959</v>
      </c>
      <c r="L8" s="143">
        <f>K8</f>
        <v>7029.5270621972959</v>
      </c>
      <c r="M8" s="146">
        <v>0</v>
      </c>
      <c r="N8" s="143">
        <f t="shared" si="2"/>
        <v>7029.5270621972959</v>
      </c>
      <c r="O8" s="43" t="s">
        <v>971</v>
      </c>
      <c r="P8" s="79">
        <v>83.5121931841215</v>
      </c>
      <c r="Q8" s="51">
        <f t="shared" si="3"/>
        <v>83.5121931841215</v>
      </c>
      <c r="R8" s="145">
        <v>0.125</v>
      </c>
      <c r="S8" s="145">
        <v>7.6019761188179047E-2</v>
      </c>
      <c r="T8" s="67">
        <f t="shared" si="0"/>
        <v>570.10782053128651</v>
      </c>
      <c r="U8" s="82">
        <v>570.10782053128651</v>
      </c>
      <c r="V8" s="82">
        <v>0</v>
      </c>
      <c r="W8" s="50">
        <f t="shared" si="1"/>
        <v>6.8266417009831724</v>
      </c>
      <c r="X8" s="145">
        <v>0.24541057944297787</v>
      </c>
      <c r="Z8" s="50"/>
      <c r="AA8" s="43" t="s">
        <v>67</v>
      </c>
      <c r="AB8" s="43" t="s">
        <v>584</v>
      </c>
      <c r="AC8" s="43" t="s">
        <v>68</v>
      </c>
      <c r="AD8" s="43" t="s">
        <v>43</v>
      </c>
      <c r="AE8" s="43" t="s">
        <v>69</v>
      </c>
      <c r="AF8" s="43" t="s">
        <v>275</v>
      </c>
    </row>
    <row r="9" spans="2:36" x14ac:dyDescent="0.3">
      <c r="B9" s="4">
        <v>6</v>
      </c>
      <c r="C9" s="43" t="s">
        <v>70</v>
      </c>
      <c r="D9" s="43" t="s">
        <v>71</v>
      </c>
      <c r="E9" s="43" t="s">
        <v>30</v>
      </c>
      <c r="F9" s="43" t="s">
        <v>55</v>
      </c>
      <c r="G9" s="134">
        <v>42284</v>
      </c>
      <c r="H9" s="43" t="s">
        <v>32</v>
      </c>
      <c r="I9" s="43" t="s">
        <v>418</v>
      </c>
      <c r="J9" s="142">
        <v>100.006</v>
      </c>
      <c r="K9" s="142">
        <v>24870.194004999998</v>
      </c>
      <c r="L9" s="143">
        <f>K9</f>
        <v>24870.194004999998</v>
      </c>
      <c r="M9" s="144">
        <v>0.17929999999999999</v>
      </c>
      <c r="N9" s="143">
        <f t="shared" si="2"/>
        <v>20410.968219903498</v>
      </c>
      <c r="O9" s="43" t="s">
        <v>995</v>
      </c>
      <c r="P9" s="79">
        <v>111.495822</v>
      </c>
      <c r="Q9" s="79">
        <v>43.367258243412756</v>
      </c>
      <c r="R9" s="145">
        <v>0.13999999999999999</v>
      </c>
      <c r="S9" s="145">
        <v>5.2254967580004183E-2</v>
      </c>
      <c r="T9" s="67">
        <f t="shared" si="0"/>
        <v>1744.3478499999999</v>
      </c>
      <c r="U9" s="82">
        <v>1066.0916999999999</v>
      </c>
      <c r="V9" s="82">
        <v>678.25614999999993</v>
      </c>
      <c r="W9" s="50">
        <f t="shared" si="1"/>
        <v>15.644961566362548</v>
      </c>
      <c r="X9" s="145">
        <v>0.41813425421714789</v>
      </c>
      <c r="Y9" s="43" t="s">
        <v>1036</v>
      </c>
      <c r="Z9" s="50">
        <f>V9/(P9-Q9)</f>
        <v>9.9555327839187022</v>
      </c>
      <c r="AA9" s="43" t="s">
        <v>72</v>
      </c>
      <c r="AB9" s="43" t="s">
        <v>996</v>
      </c>
      <c r="AC9" s="43" t="s">
        <v>73</v>
      </c>
      <c r="AD9" s="43" t="s">
        <v>74</v>
      </c>
      <c r="AE9" s="43" t="s">
        <v>36</v>
      </c>
      <c r="AF9" s="43" t="s">
        <v>689</v>
      </c>
    </row>
    <row r="10" spans="2:36" x14ac:dyDescent="0.3">
      <c r="B10" s="4">
        <v>7</v>
      </c>
      <c r="C10" s="43" t="s">
        <v>75</v>
      </c>
      <c r="D10" s="43" t="s">
        <v>76</v>
      </c>
      <c r="E10" s="43" t="s">
        <v>30</v>
      </c>
      <c r="F10" s="43" t="s">
        <v>40</v>
      </c>
      <c r="G10" s="134">
        <v>42129</v>
      </c>
      <c r="H10" s="43" t="s">
        <v>65</v>
      </c>
      <c r="I10" s="43" t="s">
        <v>49</v>
      </c>
      <c r="J10" s="142">
        <v>190.00630000000001</v>
      </c>
      <c r="K10" s="142" t="s">
        <v>49</v>
      </c>
      <c r="L10" s="143">
        <v>0</v>
      </c>
      <c r="M10" s="146">
        <v>0</v>
      </c>
      <c r="N10" s="143" t="s">
        <v>49</v>
      </c>
      <c r="O10" s="43" t="s">
        <v>97</v>
      </c>
      <c r="P10" s="79">
        <v>132.47771899999998</v>
      </c>
      <c r="R10" s="145">
        <v>8.4750000000000006E-2</v>
      </c>
      <c r="S10" s="145" t="s">
        <v>49</v>
      </c>
      <c r="T10" s="67">
        <f t="shared" si="0"/>
        <v>521.26577499999996</v>
      </c>
      <c r="U10" s="82">
        <v>0</v>
      </c>
      <c r="V10" s="82">
        <v>521.26577499999996</v>
      </c>
      <c r="W10" s="50">
        <f t="shared" si="1"/>
        <v>3.9347429811952006</v>
      </c>
      <c r="X10" s="145">
        <v>0.45268052220344546</v>
      </c>
      <c r="Y10" s="43" t="s">
        <v>77</v>
      </c>
      <c r="Z10" s="50">
        <f>W10</f>
        <v>3.9347429811952006</v>
      </c>
      <c r="AA10" s="43" t="s">
        <v>78</v>
      </c>
      <c r="AB10" s="43" t="s">
        <v>616</v>
      </c>
      <c r="AC10" s="43" t="s">
        <v>68</v>
      </c>
      <c r="AD10" s="43" t="s">
        <v>615</v>
      </c>
      <c r="AE10" s="43" t="s">
        <v>613</v>
      </c>
      <c r="AF10" s="43" t="s">
        <v>461</v>
      </c>
    </row>
    <row r="11" spans="2:36" x14ac:dyDescent="0.3">
      <c r="B11" s="4">
        <v>8</v>
      </c>
      <c r="C11" s="43" t="s">
        <v>79</v>
      </c>
      <c r="D11" s="43" t="s">
        <v>80</v>
      </c>
      <c r="E11" s="43" t="s">
        <v>81</v>
      </c>
      <c r="F11" s="43" t="s">
        <v>46</v>
      </c>
      <c r="G11" s="134">
        <v>42373</v>
      </c>
      <c r="H11" s="43" t="s">
        <v>32</v>
      </c>
      <c r="I11" s="43" t="s">
        <v>82</v>
      </c>
      <c r="J11" s="142">
        <v>312.52435000000003</v>
      </c>
      <c r="K11" s="142">
        <v>57770</v>
      </c>
      <c r="L11" s="142">
        <v>57770</v>
      </c>
      <c r="M11" s="144">
        <v>0.35</v>
      </c>
      <c r="N11" s="143">
        <f t="shared" si="2"/>
        <v>37550.5</v>
      </c>
      <c r="O11" s="43" t="s">
        <v>1098</v>
      </c>
      <c r="P11" s="79">
        <v>103.11818499999998</v>
      </c>
      <c r="Q11" s="79">
        <v>53.427850199913593</v>
      </c>
      <c r="R11" s="145">
        <v>0.08</v>
      </c>
      <c r="S11" s="145">
        <v>2.462083137653704E-2</v>
      </c>
      <c r="T11" s="67">
        <f t="shared" si="0"/>
        <v>1990.6569390000002</v>
      </c>
      <c r="U11" s="82">
        <v>931.79213400000003</v>
      </c>
      <c r="V11" s="82">
        <v>1058.8648050000002</v>
      </c>
      <c r="W11" s="50">
        <f t="shared" si="1"/>
        <v>19.304615757152828</v>
      </c>
      <c r="X11" s="145">
        <v>0.39304954409599313</v>
      </c>
      <c r="Y11" s="43" t="s">
        <v>1037</v>
      </c>
      <c r="Z11" s="50">
        <f>V11/(P11-Q11)</f>
        <v>21.30927089261953</v>
      </c>
      <c r="AA11" s="43" t="s">
        <v>83</v>
      </c>
      <c r="AB11" s="43" t="s">
        <v>1073</v>
      </c>
      <c r="AC11" s="43" t="s">
        <v>73</v>
      </c>
      <c r="AD11" s="43" t="s">
        <v>36</v>
      </c>
      <c r="AE11" s="43" t="s">
        <v>36</v>
      </c>
      <c r="AF11" s="43" t="s">
        <v>689</v>
      </c>
    </row>
    <row r="12" spans="2:36" x14ac:dyDescent="0.3">
      <c r="B12" s="4">
        <v>9</v>
      </c>
      <c r="C12" s="43" t="s">
        <v>84</v>
      </c>
      <c r="D12" s="43" t="s">
        <v>85</v>
      </c>
      <c r="E12" s="43" t="s">
        <v>30</v>
      </c>
      <c r="F12" s="43" t="s">
        <v>86</v>
      </c>
      <c r="G12" s="134">
        <v>42413</v>
      </c>
      <c r="H12" s="43" t="s">
        <v>32</v>
      </c>
      <c r="I12" s="43" t="s">
        <v>49</v>
      </c>
      <c r="J12" s="142">
        <v>609.65615519999994</v>
      </c>
      <c r="K12" s="142" t="s">
        <v>49</v>
      </c>
      <c r="L12" s="143">
        <v>0</v>
      </c>
      <c r="M12" s="146">
        <v>0</v>
      </c>
      <c r="N12" s="143">
        <f t="shared" si="2"/>
        <v>0</v>
      </c>
      <c r="O12" s="43" t="s">
        <v>191</v>
      </c>
      <c r="P12" s="79">
        <v>180.69889123999999</v>
      </c>
      <c r="R12" s="145">
        <v>3.7900000000000003E-2</v>
      </c>
      <c r="S12" s="145" t="s">
        <v>49</v>
      </c>
      <c r="T12" s="67">
        <f t="shared" si="0"/>
        <v>4.4549999999999998E-3</v>
      </c>
      <c r="U12" s="82">
        <v>0</v>
      </c>
      <c r="V12" s="82">
        <v>4.4549999999999998E-3</v>
      </c>
      <c r="W12" s="50">
        <f t="shared" si="1"/>
        <v>2.4654274132113929E-5</v>
      </c>
      <c r="X12" s="145" t="s">
        <v>49</v>
      </c>
      <c r="Z12" s="50"/>
      <c r="AA12" s="43" t="s">
        <v>87</v>
      </c>
      <c r="AB12" s="43" t="s">
        <v>88</v>
      </c>
      <c r="AC12" s="43" t="s">
        <v>89</v>
      </c>
      <c r="AD12" s="43" t="s">
        <v>36</v>
      </c>
      <c r="AE12" s="43" t="s">
        <v>36</v>
      </c>
      <c r="AF12" s="43" t="s">
        <v>568</v>
      </c>
    </row>
    <row r="13" spans="2:36" x14ac:dyDescent="0.3">
      <c r="B13" s="4">
        <v>10</v>
      </c>
      <c r="C13" s="43" t="s">
        <v>90</v>
      </c>
      <c r="D13" s="43" t="s">
        <v>91</v>
      </c>
      <c r="E13" s="43" t="s">
        <v>92</v>
      </c>
      <c r="F13" s="43" t="s">
        <v>93</v>
      </c>
      <c r="G13" s="134">
        <v>42452</v>
      </c>
      <c r="H13" s="43" t="s">
        <v>65</v>
      </c>
      <c r="I13" s="43" t="s">
        <v>49</v>
      </c>
      <c r="J13" s="142">
        <v>866.41628971534703</v>
      </c>
      <c r="K13" s="142" t="s">
        <v>49</v>
      </c>
      <c r="L13" s="143">
        <v>0</v>
      </c>
      <c r="M13" s="146">
        <v>0</v>
      </c>
      <c r="N13" s="143">
        <f t="shared" si="2"/>
        <v>0</v>
      </c>
      <c r="O13" s="43" t="s">
        <v>97</v>
      </c>
      <c r="P13" s="79">
        <v>122.59911841159999</v>
      </c>
      <c r="Q13" s="79">
        <v>122.59911841159999</v>
      </c>
      <c r="R13" s="145">
        <v>3.9999999999999994E-2</v>
      </c>
      <c r="S13" s="145" t="s">
        <v>49</v>
      </c>
      <c r="T13" s="67">
        <f>U13+V13</f>
        <v>113.086367196</v>
      </c>
      <c r="U13" s="82">
        <v>0</v>
      </c>
      <c r="V13" s="82">
        <v>113.086367196</v>
      </c>
      <c r="W13" s="50">
        <f t="shared" si="1"/>
        <v>0.92240767030915349</v>
      </c>
      <c r="X13" s="145">
        <v>-1.0044631361961369E-2</v>
      </c>
      <c r="Y13" s="43" t="s">
        <v>1094</v>
      </c>
      <c r="Z13" s="50">
        <f>W13</f>
        <v>0.92240767030915349</v>
      </c>
      <c r="AA13" s="43" t="s">
        <v>94</v>
      </c>
      <c r="AB13" s="43" t="s">
        <v>618</v>
      </c>
      <c r="AC13" s="43" t="s">
        <v>35</v>
      </c>
      <c r="AD13" s="43" t="s">
        <v>69</v>
      </c>
      <c r="AE13" s="43" t="s">
        <v>69</v>
      </c>
      <c r="AF13" s="43" t="s">
        <v>275</v>
      </c>
    </row>
    <row r="14" spans="2:36" x14ac:dyDescent="0.3">
      <c r="B14" s="4">
        <v>11</v>
      </c>
      <c r="C14" s="43" t="s">
        <v>95</v>
      </c>
      <c r="D14" s="43" t="s">
        <v>96</v>
      </c>
      <c r="E14" s="43" t="s">
        <v>92</v>
      </c>
      <c r="F14" s="43" t="s">
        <v>64</v>
      </c>
      <c r="G14" s="134">
        <v>42608</v>
      </c>
      <c r="H14" s="43" t="s">
        <v>32</v>
      </c>
      <c r="I14" s="43" t="s">
        <v>49</v>
      </c>
      <c r="J14" s="142">
        <v>415.00664710431801</v>
      </c>
      <c r="K14" s="142" t="s">
        <v>49</v>
      </c>
      <c r="L14" s="143">
        <v>0</v>
      </c>
      <c r="M14" s="146">
        <v>0</v>
      </c>
      <c r="N14" s="143">
        <f t="shared" si="2"/>
        <v>0</v>
      </c>
      <c r="O14" s="43" t="s">
        <v>97</v>
      </c>
      <c r="P14" s="79">
        <v>92.037188000000015</v>
      </c>
      <c r="R14" s="145">
        <v>0.19689999999999999</v>
      </c>
      <c r="S14" s="145" t="s">
        <v>49</v>
      </c>
      <c r="T14" s="67">
        <f t="shared" si="0"/>
        <v>452.477965343736</v>
      </c>
      <c r="U14" s="82">
        <v>0</v>
      </c>
      <c r="V14" s="82">
        <v>452.477965343736</v>
      </c>
      <c r="W14" s="50">
        <f t="shared" si="1"/>
        <v>4.9162515193721035</v>
      </c>
      <c r="X14" s="145">
        <v>0.41834691166877758</v>
      </c>
      <c r="Y14" s="43" t="s">
        <v>98</v>
      </c>
      <c r="Z14" s="50">
        <f>W14</f>
        <v>4.9162515193721035</v>
      </c>
      <c r="AA14" s="43"/>
      <c r="AB14" s="43" t="s">
        <v>99</v>
      </c>
      <c r="AC14" s="43" t="s">
        <v>35</v>
      </c>
      <c r="AD14" s="43" t="s">
        <v>614</v>
      </c>
      <c r="AE14" s="43" t="s">
        <v>36</v>
      </c>
      <c r="AF14" s="43" t="s">
        <v>461</v>
      </c>
    </row>
    <row r="15" spans="2:36" x14ac:dyDescent="0.3">
      <c r="B15" s="4">
        <v>12</v>
      </c>
      <c r="C15" s="43" t="s">
        <v>100</v>
      </c>
      <c r="D15" s="43" t="s">
        <v>101</v>
      </c>
      <c r="E15" s="43" t="s">
        <v>81</v>
      </c>
      <c r="F15" s="43" t="s">
        <v>102</v>
      </c>
      <c r="G15" s="134">
        <v>42251</v>
      </c>
      <c r="H15" s="43" t="s">
        <v>32</v>
      </c>
      <c r="I15" s="43" t="s">
        <v>103</v>
      </c>
      <c r="J15" s="142">
        <v>195.03</v>
      </c>
      <c r="K15" s="142">
        <v>5157.6840249999996</v>
      </c>
      <c r="L15" s="143">
        <v>0</v>
      </c>
      <c r="M15" s="146">
        <v>0</v>
      </c>
      <c r="N15" s="143" t="s">
        <v>104</v>
      </c>
      <c r="O15" s="43" t="s">
        <v>104</v>
      </c>
      <c r="P15" s="79">
        <v>84.899079860000001</v>
      </c>
      <c r="Q15" s="51">
        <f t="shared" ref="Q15:Q16" si="4">P15</f>
        <v>84.899079860000001</v>
      </c>
      <c r="R15" s="145">
        <v>0.13850000000000001</v>
      </c>
      <c r="S15" s="145">
        <v>0.08</v>
      </c>
      <c r="T15" s="67">
        <f t="shared" si="0"/>
        <v>84.899079860000001</v>
      </c>
      <c r="U15" s="82">
        <v>84.899079860000001</v>
      </c>
      <c r="V15" s="82">
        <v>0</v>
      </c>
      <c r="W15" s="50">
        <f t="shared" si="1"/>
        <v>1</v>
      </c>
      <c r="X15" s="145">
        <v>2.9802322387695314E-9</v>
      </c>
      <c r="Z15" s="50"/>
      <c r="AA15" s="43" t="s">
        <v>105</v>
      </c>
      <c r="AB15" s="43" t="s">
        <v>106</v>
      </c>
      <c r="AC15" s="43" t="s">
        <v>35</v>
      </c>
      <c r="AD15" s="43" t="s">
        <v>145</v>
      </c>
      <c r="AE15" s="43" t="s">
        <v>36</v>
      </c>
      <c r="AF15" s="43" t="s">
        <v>275</v>
      </c>
    </row>
    <row r="16" spans="2:36" x14ac:dyDescent="0.3">
      <c r="B16" s="18">
        <v>13</v>
      </c>
      <c r="C16" s="43" t="s">
        <v>108</v>
      </c>
      <c r="D16" s="43" t="s">
        <v>109</v>
      </c>
      <c r="E16" s="43" t="s">
        <v>92</v>
      </c>
      <c r="F16" s="43" t="s">
        <v>110</v>
      </c>
      <c r="G16" s="134">
        <v>42772</v>
      </c>
      <c r="H16" s="43" t="s">
        <v>32</v>
      </c>
      <c r="I16" s="43" t="s">
        <v>111</v>
      </c>
      <c r="J16" s="142">
        <v>765.65924838550768</v>
      </c>
      <c r="K16" s="142">
        <v>7545.1152426667186</v>
      </c>
      <c r="L16" s="143">
        <v>0</v>
      </c>
      <c r="M16" s="146">
        <v>0</v>
      </c>
      <c r="N16" s="143" t="s">
        <v>104</v>
      </c>
      <c r="O16" s="43" t="s">
        <v>104</v>
      </c>
      <c r="P16" s="79">
        <v>67.564819410990495</v>
      </c>
      <c r="Q16" s="51">
        <f t="shared" si="4"/>
        <v>67.564819410990495</v>
      </c>
      <c r="R16" s="145">
        <v>6.5000000000000002E-2</v>
      </c>
      <c r="S16" s="145">
        <v>5.0200000000000002E-2</v>
      </c>
      <c r="T16" s="67">
        <f t="shared" si="0"/>
        <v>67.564819410990509</v>
      </c>
      <c r="U16" s="82">
        <v>67.564819410990509</v>
      </c>
      <c r="V16" s="82">
        <v>0</v>
      </c>
      <c r="W16" s="50">
        <f t="shared" si="1"/>
        <v>1.0000000000000002</v>
      </c>
      <c r="X16" s="145">
        <v>0</v>
      </c>
      <c r="Z16" s="50"/>
      <c r="AA16" s="43" t="s">
        <v>112</v>
      </c>
      <c r="AB16" s="43" t="s">
        <v>573</v>
      </c>
      <c r="AC16" s="43" t="s">
        <v>51</v>
      </c>
      <c r="AD16" s="43" t="s">
        <v>69</v>
      </c>
      <c r="AE16" s="43" t="s">
        <v>36</v>
      </c>
      <c r="AF16" s="43" t="s">
        <v>275</v>
      </c>
    </row>
    <row r="17" spans="2:32" x14ac:dyDescent="0.3">
      <c r="B17" s="4">
        <v>14</v>
      </c>
      <c r="C17" s="43" t="s">
        <v>113</v>
      </c>
      <c r="D17" s="43" t="s">
        <v>114</v>
      </c>
      <c r="E17" s="43" t="s">
        <v>81</v>
      </c>
      <c r="F17" s="43" t="s">
        <v>55</v>
      </c>
      <c r="G17" s="134">
        <v>42334</v>
      </c>
      <c r="H17" s="43" t="s">
        <v>65</v>
      </c>
      <c r="I17" s="43" t="s">
        <v>49</v>
      </c>
      <c r="J17" s="142">
        <v>1421.3069933400002</v>
      </c>
      <c r="K17" s="142" t="s">
        <v>49</v>
      </c>
      <c r="L17" s="143">
        <v>0</v>
      </c>
      <c r="M17" s="146">
        <v>0</v>
      </c>
      <c r="N17" s="143" t="s">
        <v>49</v>
      </c>
      <c r="O17" s="43" t="s">
        <v>115</v>
      </c>
      <c r="P17" s="79">
        <v>55.356994579999999</v>
      </c>
      <c r="R17" s="145">
        <v>4.2200000000000001E-2</v>
      </c>
      <c r="S17" s="145" t="s">
        <v>49</v>
      </c>
      <c r="T17" s="67">
        <f t="shared" si="0"/>
        <v>247.01864948585995</v>
      </c>
      <c r="U17" s="82">
        <v>0</v>
      </c>
      <c r="V17" s="82">
        <v>247.01864948585995</v>
      </c>
      <c r="W17" s="50">
        <f t="shared" si="1"/>
        <v>4.462284330282368</v>
      </c>
      <c r="X17" s="145">
        <v>0.36432917714118962</v>
      </c>
      <c r="Y17" s="43" t="s">
        <v>116</v>
      </c>
      <c r="Z17" s="50">
        <f>W17</f>
        <v>4.462284330282368</v>
      </c>
      <c r="AA17" s="43"/>
      <c r="AB17" s="43" t="s">
        <v>117</v>
      </c>
      <c r="AD17" s="43" t="s">
        <v>36</v>
      </c>
      <c r="AE17" s="43" t="s">
        <v>36</v>
      </c>
      <c r="AF17" s="43" t="s">
        <v>461</v>
      </c>
    </row>
    <row r="18" spans="2:32" x14ac:dyDescent="0.3">
      <c r="B18" s="4">
        <v>15</v>
      </c>
      <c r="C18" s="43" t="s">
        <v>118</v>
      </c>
      <c r="D18" s="43" t="s">
        <v>119</v>
      </c>
      <c r="E18" s="43" t="s">
        <v>30</v>
      </c>
      <c r="F18" s="43" t="s">
        <v>120</v>
      </c>
      <c r="G18" s="134">
        <v>43214</v>
      </c>
      <c r="H18" s="43" t="s">
        <v>121</v>
      </c>
      <c r="I18" s="43" t="s">
        <v>122</v>
      </c>
      <c r="J18" s="142">
        <v>2127.2964342465752</v>
      </c>
      <c r="K18" s="142">
        <v>18280</v>
      </c>
      <c r="L18" s="143">
        <f>K18</f>
        <v>18280</v>
      </c>
      <c r="M18" s="144">
        <v>0.57035124679657101</v>
      </c>
      <c r="N18" s="143">
        <f t="shared" ref="N18:N26" si="5">L18*(1-M18)</f>
        <v>7853.9792085586823</v>
      </c>
      <c r="O18" s="43" t="s">
        <v>1095</v>
      </c>
      <c r="P18" s="79">
        <v>74.822639999999993</v>
      </c>
      <c r="Q18" s="51">
        <f>P18</f>
        <v>74.822639999999993</v>
      </c>
      <c r="R18" s="145">
        <v>4.4200000000000003E-2</v>
      </c>
      <c r="S18" s="145">
        <v>2.6099999999999998E-2</v>
      </c>
      <c r="T18" s="67">
        <f t="shared" si="0"/>
        <v>194.52040700000001</v>
      </c>
      <c r="U18" s="82">
        <v>194.52040700000001</v>
      </c>
      <c r="V18" s="82">
        <v>0</v>
      </c>
      <c r="W18" s="50">
        <f t="shared" si="1"/>
        <v>2.5997533233256673</v>
      </c>
      <c r="X18" s="145">
        <v>0.14310011267662051</v>
      </c>
      <c r="Z18" s="50"/>
      <c r="AA18" s="43" t="s">
        <v>123</v>
      </c>
      <c r="AB18" s="43" t="s">
        <v>619</v>
      </c>
      <c r="AC18" s="43" t="s">
        <v>124</v>
      </c>
      <c r="AD18" s="43" t="s">
        <v>69</v>
      </c>
      <c r="AE18" s="43" t="s">
        <v>69</v>
      </c>
      <c r="AF18" s="43" t="s">
        <v>275</v>
      </c>
    </row>
    <row r="19" spans="2:32" x14ac:dyDescent="0.3">
      <c r="B19" s="4">
        <v>16</v>
      </c>
      <c r="C19" s="43" t="s">
        <v>125</v>
      </c>
      <c r="D19" s="43" t="s">
        <v>126</v>
      </c>
      <c r="E19" s="43" t="s">
        <v>92</v>
      </c>
      <c r="F19" s="43" t="s">
        <v>127</v>
      </c>
      <c r="G19" s="134">
        <v>42884</v>
      </c>
      <c r="H19" s="43" t="s">
        <v>32</v>
      </c>
      <c r="I19" s="43" t="s">
        <v>49</v>
      </c>
      <c r="J19" s="142">
        <v>613.29753705999997</v>
      </c>
      <c r="K19" s="142" t="s">
        <v>49</v>
      </c>
      <c r="L19" s="143">
        <v>0</v>
      </c>
      <c r="M19" s="146">
        <v>0</v>
      </c>
      <c r="N19" s="143" t="s">
        <v>49</v>
      </c>
      <c r="O19" s="43" t="s">
        <v>97</v>
      </c>
      <c r="P19" s="79">
        <v>61.531786099987201</v>
      </c>
      <c r="R19" s="145">
        <v>0.1</v>
      </c>
      <c r="S19" s="145" t="s">
        <v>49</v>
      </c>
      <c r="T19" s="67">
        <f t="shared" si="0"/>
        <v>177.44447199390004</v>
      </c>
      <c r="U19" s="82">
        <v>0</v>
      </c>
      <c r="V19" s="82">
        <v>177.44447199390004</v>
      </c>
      <c r="W19" s="50">
        <f t="shared" si="1"/>
        <v>2.8837854910559302</v>
      </c>
      <c r="X19" s="145">
        <v>4.8712530612945546</v>
      </c>
      <c r="Y19" s="43" t="s">
        <v>128</v>
      </c>
      <c r="Z19" s="50">
        <f>W19</f>
        <v>2.8837854910559302</v>
      </c>
      <c r="AA19" s="43" t="s">
        <v>129</v>
      </c>
      <c r="AC19" s="43" t="s">
        <v>89</v>
      </c>
      <c r="AD19" s="43" t="s">
        <v>69</v>
      </c>
      <c r="AE19" s="43" t="s">
        <v>69</v>
      </c>
      <c r="AF19" s="43" t="s">
        <v>461</v>
      </c>
    </row>
    <row r="20" spans="2:32" x14ac:dyDescent="0.3">
      <c r="B20" s="4">
        <v>17</v>
      </c>
      <c r="C20" s="43" t="s">
        <v>130</v>
      </c>
      <c r="D20" s="43" t="s">
        <v>131</v>
      </c>
      <c r="E20" s="43" t="s">
        <v>63</v>
      </c>
      <c r="F20" s="43" t="s">
        <v>64</v>
      </c>
      <c r="G20" s="134">
        <v>42454</v>
      </c>
      <c r="H20" s="43" t="s">
        <v>111</v>
      </c>
      <c r="I20" s="43" t="s">
        <v>132</v>
      </c>
      <c r="J20" s="142">
        <v>1397.5615277403813</v>
      </c>
      <c r="K20" s="142">
        <v>15601.18863922289</v>
      </c>
      <c r="L20" s="143">
        <f>K20</f>
        <v>15601.18863922289</v>
      </c>
      <c r="M20" s="144">
        <v>1</v>
      </c>
      <c r="N20" s="143">
        <f t="shared" si="5"/>
        <v>0</v>
      </c>
      <c r="O20" s="43" t="s">
        <v>48</v>
      </c>
      <c r="P20" s="79">
        <v>136.97367074173002</v>
      </c>
      <c r="Q20" s="51">
        <f t="shared" ref="Q20:Q26" si="6">P20</f>
        <v>136.97367074173002</v>
      </c>
      <c r="R20" s="145">
        <v>5.7299999999999997E-2</v>
      </c>
      <c r="S20" s="145">
        <v>1.847289546101312E-2</v>
      </c>
      <c r="T20" s="67">
        <f t="shared" si="0"/>
        <v>0</v>
      </c>
      <c r="U20" s="82">
        <v>0</v>
      </c>
      <c r="V20" s="82">
        <v>0</v>
      </c>
      <c r="W20" s="50">
        <f t="shared" si="1"/>
        <v>0</v>
      </c>
      <c r="X20" s="145" t="s">
        <v>49</v>
      </c>
      <c r="Z20" s="50"/>
      <c r="AA20" s="43" t="s">
        <v>133</v>
      </c>
      <c r="AB20" s="43" t="s">
        <v>576</v>
      </c>
      <c r="AC20" s="43" t="s">
        <v>35</v>
      </c>
      <c r="AD20" s="43" t="s">
        <v>69</v>
      </c>
      <c r="AE20" s="43" t="s">
        <v>36</v>
      </c>
      <c r="AF20" s="43" t="s">
        <v>552</v>
      </c>
    </row>
    <row r="21" spans="2:32" x14ac:dyDescent="0.3">
      <c r="B21" s="4">
        <v>18</v>
      </c>
      <c r="C21" s="43" t="s">
        <v>134</v>
      </c>
      <c r="D21" s="43" t="s">
        <v>135</v>
      </c>
      <c r="E21" s="43" t="s">
        <v>39</v>
      </c>
      <c r="F21" s="43" t="s">
        <v>64</v>
      </c>
      <c r="G21" s="134">
        <v>43119</v>
      </c>
      <c r="H21" s="43" t="s">
        <v>32</v>
      </c>
      <c r="I21" s="43" t="s">
        <v>66</v>
      </c>
      <c r="J21" s="142">
        <v>500.18116199999997</v>
      </c>
      <c r="K21" s="142">
        <v>6483.9431999999997</v>
      </c>
      <c r="L21" s="143">
        <v>2105.5396559999999</v>
      </c>
      <c r="M21" s="146">
        <v>0</v>
      </c>
      <c r="N21" s="143">
        <f t="shared" si="5"/>
        <v>2105.5396559999999</v>
      </c>
      <c r="O21" s="43" t="s">
        <v>1099</v>
      </c>
      <c r="P21" s="79">
        <v>73.834940000000003</v>
      </c>
      <c r="Q21" s="51">
        <f t="shared" si="6"/>
        <v>73.834940000000003</v>
      </c>
      <c r="R21" s="145">
        <v>0.13</v>
      </c>
      <c r="S21" s="145">
        <v>6.0400000000000002E-2</v>
      </c>
      <c r="T21" s="67">
        <f t="shared" si="0"/>
        <v>169.51512399999999</v>
      </c>
      <c r="U21" s="82">
        <v>169.51512399999999</v>
      </c>
      <c r="V21" s="82">
        <v>0</v>
      </c>
      <c r="W21" s="50">
        <f t="shared" si="1"/>
        <v>2.2958659409759115</v>
      </c>
      <c r="X21" s="145">
        <v>0.1153734028339386</v>
      </c>
      <c r="Z21" s="50"/>
      <c r="AA21" s="43" t="s">
        <v>136</v>
      </c>
      <c r="AB21" s="43" t="s">
        <v>587</v>
      </c>
      <c r="AC21" s="43" t="s">
        <v>51</v>
      </c>
      <c r="AD21" s="43" t="s">
        <v>43</v>
      </c>
      <c r="AE21" s="43" t="s">
        <v>43</v>
      </c>
      <c r="AF21" s="43" t="s">
        <v>275</v>
      </c>
    </row>
    <row r="22" spans="2:32" x14ac:dyDescent="0.3">
      <c r="B22" s="4">
        <v>19</v>
      </c>
      <c r="C22" s="43" t="s">
        <v>137</v>
      </c>
      <c r="D22" s="43" t="s">
        <v>138</v>
      </c>
      <c r="E22" s="43" t="s">
        <v>39</v>
      </c>
      <c r="F22" s="43" t="s">
        <v>64</v>
      </c>
      <c r="G22" s="134">
        <v>43111</v>
      </c>
      <c r="H22" s="43" t="s">
        <v>139</v>
      </c>
      <c r="I22" s="43" t="s">
        <v>111</v>
      </c>
      <c r="J22" s="142">
        <v>321.00381700000003</v>
      </c>
      <c r="K22" s="142">
        <v>7332.7707449999998</v>
      </c>
      <c r="L22" s="143">
        <f>K22</f>
        <v>7332.7707449999998</v>
      </c>
      <c r="M22" s="144">
        <v>0.5</v>
      </c>
      <c r="N22" s="143">
        <f t="shared" si="5"/>
        <v>3666.3853724999999</v>
      </c>
      <c r="O22" s="43" t="s">
        <v>1100</v>
      </c>
      <c r="P22" s="79">
        <v>91.663456000000011</v>
      </c>
      <c r="Q22" s="51">
        <f t="shared" si="6"/>
        <v>91.663456000000011</v>
      </c>
      <c r="R22" s="145">
        <v>0.125</v>
      </c>
      <c r="S22" s="145">
        <v>7.1436447178876039E-2</v>
      </c>
      <c r="T22" s="67">
        <f t="shared" si="0"/>
        <v>261.913545</v>
      </c>
      <c r="U22" s="82">
        <v>261.913545</v>
      </c>
      <c r="V22" s="82">
        <v>0</v>
      </c>
      <c r="W22" s="50">
        <f t="shared" si="1"/>
        <v>2.8573387523158624</v>
      </c>
      <c r="X22" s="145">
        <v>0.15724208950996399</v>
      </c>
      <c r="Z22" s="50"/>
      <c r="AA22" s="43" t="s">
        <v>140</v>
      </c>
      <c r="AB22" s="43" t="s">
        <v>620</v>
      </c>
      <c r="AC22" s="43" t="s">
        <v>35</v>
      </c>
      <c r="AD22" s="43" t="s">
        <v>43</v>
      </c>
      <c r="AE22" s="43" t="s">
        <v>43</v>
      </c>
      <c r="AF22" s="43" t="s">
        <v>275</v>
      </c>
    </row>
    <row r="23" spans="2:32" x14ac:dyDescent="0.3">
      <c r="B23" s="4">
        <v>20</v>
      </c>
      <c r="C23" s="43" t="s">
        <v>141</v>
      </c>
      <c r="D23" s="43" t="s">
        <v>142</v>
      </c>
      <c r="E23" s="43" t="s">
        <v>30</v>
      </c>
      <c r="F23" s="43" t="s">
        <v>127</v>
      </c>
      <c r="G23" s="134">
        <v>43097</v>
      </c>
      <c r="H23" s="43" t="s">
        <v>32</v>
      </c>
      <c r="I23" s="43" t="s">
        <v>56</v>
      </c>
      <c r="J23" s="142">
        <v>111.98780600000001</v>
      </c>
      <c r="K23" s="142">
        <v>2511.9971071585464</v>
      </c>
      <c r="L23" s="143">
        <f>K23</f>
        <v>2511.9971071585464</v>
      </c>
      <c r="M23" s="144">
        <v>0.5</v>
      </c>
      <c r="N23" s="143">
        <f t="shared" si="5"/>
        <v>1255.9985535792732</v>
      </c>
      <c r="O23" s="43" t="s">
        <v>1101</v>
      </c>
      <c r="P23" s="79">
        <v>22.308696700000002</v>
      </c>
      <c r="Q23" s="51">
        <f t="shared" si="6"/>
        <v>22.308696700000002</v>
      </c>
      <c r="R23" s="145">
        <v>7.7890133916370591E-2</v>
      </c>
      <c r="S23" s="145">
        <v>4.8000000000000001E-2</v>
      </c>
      <c r="T23" s="67">
        <f t="shared" si="0"/>
        <v>60.415931073169915</v>
      </c>
      <c r="U23" s="82">
        <v>60.415931073169915</v>
      </c>
      <c r="V23" s="82">
        <v>0</v>
      </c>
      <c r="W23" s="50">
        <f t="shared" si="1"/>
        <v>2.70817842411968</v>
      </c>
      <c r="X23" s="145">
        <v>0.14584426283836369</v>
      </c>
      <c r="Z23" s="50"/>
      <c r="AA23" s="43" t="s">
        <v>143</v>
      </c>
      <c r="AB23" s="43" t="s">
        <v>967</v>
      </c>
      <c r="AC23" s="43" t="s">
        <v>144</v>
      </c>
      <c r="AD23" s="43" t="s">
        <v>60</v>
      </c>
      <c r="AE23" s="43" t="s">
        <v>145</v>
      </c>
      <c r="AF23" s="43" t="s">
        <v>275</v>
      </c>
    </row>
    <row r="24" spans="2:32" x14ac:dyDescent="0.3">
      <c r="B24" s="4">
        <v>21</v>
      </c>
      <c r="C24" s="43" t="s">
        <v>146</v>
      </c>
      <c r="D24" s="43" t="s">
        <v>147</v>
      </c>
      <c r="E24" s="43" t="s">
        <v>81</v>
      </c>
      <c r="F24" s="43" t="s">
        <v>110</v>
      </c>
      <c r="G24" s="134">
        <v>42447</v>
      </c>
      <c r="H24" s="43" t="s">
        <v>32</v>
      </c>
      <c r="I24" s="43" t="s">
        <v>65</v>
      </c>
      <c r="J24" s="142">
        <v>71.444491999999997</v>
      </c>
      <c r="K24" s="142">
        <v>709.19243442604159</v>
      </c>
      <c r="L24" s="143">
        <v>0</v>
      </c>
      <c r="M24" s="144">
        <v>1</v>
      </c>
      <c r="N24" s="143">
        <f t="shared" si="5"/>
        <v>0</v>
      </c>
      <c r="O24" s="43" t="s">
        <v>48</v>
      </c>
      <c r="P24" s="79">
        <v>42.754520999999997</v>
      </c>
      <c r="Q24" s="51">
        <f t="shared" si="6"/>
        <v>42.754520999999997</v>
      </c>
      <c r="R24" s="145">
        <v>7.0000000000000007E-2</v>
      </c>
      <c r="S24" s="145">
        <v>0.12959999999999999</v>
      </c>
      <c r="T24" s="67">
        <f t="shared" si="0"/>
        <v>0</v>
      </c>
      <c r="U24" s="82">
        <v>0</v>
      </c>
      <c r="V24" s="82">
        <v>0</v>
      </c>
      <c r="W24" s="50">
        <f t="shared" si="1"/>
        <v>0</v>
      </c>
      <c r="X24" s="145" t="s">
        <v>49</v>
      </c>
      <c r="Z24" s="50"/>
      <c r="AA24" s="43" t="s">
        <v>148</v>
      </c>
      <c r="AB24" s="43" t="s">
        <v>966</v>
      </c>
      <c r="AC24" s="43" t="s">
        <v>73</v>
      </c>
      <c r="AD24" s="43" t="s">
        <v>74</v>
      </c>
      <c r="AE24" s="43" t="s">
        <v>145</v>
      </c>
      <c r="AF24" s="43" t="s">
        <v>552</v>
      </c>
    </row>
    <row r="25" spans="2:32" x14ac:dyDescent="0.3">
      <c r="B25" s="4">
        <v>22</v>
      </c>
      <c r="C25" s="43" t="s">
        <v>149</v>
      </c>
      <c r="D25" s="43" t="s">
        <v>617</v>
      </c>
      <c r="E25" s="43" t="s">
        <v>150</v>
      </c>
      <c r="F25" s="43" t="s">
        <v>55</v>
      </c>
      <c r="G25" s="134">
        <v>43181</v>
      </c>
      <c r="H25" s="43" t="s">
        <v>32</v>
      </c>
      <c r="I25" s="43" t="s">
        <v>122</v>
      </c>
      <c r="J25" s="142">
        <v>733.29970537919996</v>
      </c>
      <c r="K25" s="142">
        <v>7310.2891538599997</v>
      </c>
      <c r="L25" s="143">
        <f>K25</f>
        <v>7310.2891538599997</v>
      </c>
      <c r="M25" s="146">
        <v>0</v>
      </c>
      <c r="N25" s="143">
        <f t="shared" si="5"/>
        <v>7310.2891538599997</v>
      </c>
      <c r="O25" s="43" t="s">
        <v>1102</v>
      </c>
      <c r="P25" s="79">
        <v>95.768592159999997</v>
      </c>
      <c r="Q25" s="51">
        <f t="shared" si="6"/>
        <v>95.768592159999997</v>
      </c>
      <c r="R25" s="145">
        <v>6.9800000000000001E-2</v>
      </c>
      <c r="S25" s="145">
        <v>0.04</v>
      </c>
      <c r="T25" s="67">
        <f t="shared" si="0"/>
        <v>262.00137488000001</v>
      </c>
      <c r="U25" s="82">
        <v>262.00137488000001</v>
      </c>
      <c r="V25" s="82">
        <v>0</v>
      </c>
      <c r="W25" s="50">
        <f t="shared" si="1"/>
        <v>2.7357755707870899</v>
      </c>
      <c r="X25" s="145">
        <v>0.16188213229179382</v>
      </c>
      <c r="Z25" s="50"/>
      <c r="AA25" s="43" t="s">
        <v>151</v>
      </c>
      <c r="AB25" s="43" t="s">
        <v>990</v>
      </c>
      <c r="AC25" s="43" t="s">
        <v>35</v>
      </c>
      <c r="AD25" s="43" t="s">
        <v>36</v>
      </c>
      <c r="AE25" s="43" t="s">
        <v>60</v>
      </c>
      <c r="AF25" s="43" t="s">
        <v>275</v>
      </c>
    </row>
    <row r="26" spans="2:32" x14ac:dyDescent="0.3">
      <c r="B26" s="4">
        <v>23</v>
      </c>
      <c r="C26" s="43" t="s">
        <v>152</v>
      </c>
      <c r="D26" s="43" t="s">
        <v>153</v>
      </c>
      <c r="E26" s="43" t="s">
        <v>30</v>
      </c>
      <c r="F26" s="43" t="s">
        <v>154</v>
      </c>
      <c r="G26" s="134">
        <v>42864</v>
      </c>
      <c r="H26" s="43" t="s">
        <v>56</v>
      </c>
      <c r="I26" s="43" t="s">
        <v>66</v>
      </c>
      <c r="J26" s="142">
        <v>1128.4189699999999</v>
      </c>
      <c r="K26" s="142">
        <v>6245.8286155266969</v>
      </c>
      <c r="L26" s="143">
        <f>K26</f>
        <v>6245.8286155266969</v>
      </c>
      <c r="M26" s="146">
        <v>0</v>
      </c>
      <c r="N26" s="143">
        <f t="shared" si="5"/>
        <v>6245.8286155266969</v>
      </c>
      <c r="O26" s="43" t="s">
        <v>1103</v>
      </c>
      <c r="P26" s="79">
        <v>104.132148</v>
      </c>
      <c r="Q26" s="51">
        <f t="shared" si="6"/>
        <v>104.132148</v>
      </c>
      <c r="R26" s="145">
        <v>4.87E-2</v>
      </c>
      <c r="S26" s="145">
        <v>2.18E-2</v>
      </c>
      <c r="T26" s="67">
        <f t="shared" si="0"/>
        <v>112.13310800000001</v>
      </c>
      <c r="U26" s="82">
        <v>112.13310800000001</v>
      </c>
      <c r="V26" s="82">
        <v>0</v>
      </c>
      <c r="W26" s="50">
        <f t="shared" si="1"/>
        <v>1.0768346774139337</v>
      </c>
      <c r="X26" s="145">
        <v>9.9796324968338054E-3</v>
      </c>
      <c r="Z26" s="50"/>
      <c r="AA26" s="43" t="s">
        <v>156</v>
      </c>
      <c r="AB26" s="43" t="s">
        <v>968</v>
      </c>
      <c r="AC26" s="43" t="s">
        <v>157</v>
      </c>
      <c r="AD26" s="43" t="s">
        <v>36</v>
      </c>
      <c r="AE26" s="43" t="s">
        <v>60</v>
      </c>
      <c r="AF26" s="43" t="s">
        <v>275</v>
      </c>
    </row>
    <row r="27" spans="2:32" x14ac:dyDescent="0.3">
      <c r="B27" s="4">
        <v>24</v>
      </c>
      <c r="C27" s="43" t="s">
        <v>158</v>
      </c>
      <c r="D27" s="43" t="s">
        <v>159</v>
      </c>
      <c r="E27" s="43" t="s">
        <v>30</v>
      </c>
      <c r="F27" s="43" t="s">
        <v>40</v>
      </c>
      <c r="G27" s="134">
        <v>43004</v>
      </c>
      <c r="H27" s="43" t="s">
        <v>160</v>
      </c>
      <c r="I27" s="43" t="s">
        <v>49</v>
      </c>
      <c r="J27" s="142">
        <v>265.03591999999998</v>
      </c>
      <c r="K27" s="142" t="s">
        <v>612</v>
      </c>
      <c r="L27" s="143">
        <v>0</v>
      </c>
      <c r="M27" s="146">
        <v>0</v>
      </c>
      <c r="N27" s="143">
        <v>0</v>
      </c>
      <c r="O27" s="43" t="s">
        <v>191</v>
      </c>
      <c r="P27" s="79">
        <v>89.185458999999994</v>
      </c>
      <c r="R27" s="145">
        <v>9.8100000000000007E-2</v>
      </c>
      <c r="S27" s="145" t="s">
        <v>49</v>
      </c>
      <c r="T27" s="67">
        <f t="shared" si="0"/>
        <v>5.2165999999999996E-4</v>
      </c>
      <c r="U27" s="82">
        <v>0</v>
      </c>
      <c r="V27" s="82">
        <v>5.2165999999999996E-4</v>
      </c>
      <c r="W27" s="50">
        <f t="shared" si="1"/>
        <v>5.8491597828744707E-6</v>
      </c>
      <c r="X27" s="145" t="s">
        <v>49</v>
      </c>
      <c r="Z27" s="50">
        <f>W27</f>
        <v>5.8491597828744707E-6</v>
      </c>
      <c r="AA27" s="43" t="s">
        <v>161</v>
      </c>
      <c r="AB27" s="43" t="s">
        <v>162</v>
      </c>
      <c r="AC27" s="43" t="s">
        <v>89</v>
      </c>
      <c r="AD27" s="43" t="s">
        <v>107</v>
      </c>
      <c r="AE27" s="43" t="s">
        <v>43</v>
      </c>
      <c r="AF27" s="43" t="s">
        <v>568</v>
      </c>
    </row>
    <row r="28" spans="2:32" x14ac:dyDescent="0.3">
      <c r="B28" s="4">
        <v>25</v>
      </c>
      <c r="C28" s="43" t="s">
        <v>163</v>
      </c>
      <c r="D28" s="43" t="s">
        <v>164</v>
      </c>
      <c r="E28" s="43" t="s">
        <v>39</v>
      </c>
      <c r="F28" s="43" t="s">
        <v>165</v>
      </c>
      <c r="G28" s="134">
        <v>42993</v>
      </c>
      <c r="H28" s="43" t="s">
        <v>32</v>
      </c>
      <c r="I28" s="43" t="s">
        <v>49</v>
      </c>
      <c r="J28" s="142">
        <v>499.98096399999997</v>
      </c>
      <c r="K28" s="142" t="s">
        <v>612</v>
      </c>
      <c r="L28" s="143" t="s">
        <v>612</v>
      </c>
      <c r="M28" s="146">
        <v>0</v>
      </c>
      <c r="N28" s="143" t="s">
        <v>49</v>
      </c>
      <c r="O28" s="43" t="s">
        <v>191</v>
      </c>
      <c r="P28" s="79">
        <v>124.12731299999999</v>
      </c>
      <c r="R28" s="145">
        <v>9.4200000000000006E-2</v>
      </c>
      <c r="S28" s="145" t="s">
        <v>49</v>
      </c>
      <c r="T28" s="67">
        <f t="shared" si="0"/>
        <v>44.025596</v>
      </c>
      <c r="U28" s="82">
        <v>0</v>
      </c>
      <c r="V28" s="82">
        <v>44.025596</v>
      </c>
      <c r="W28" s="50">
        <f t="shared" si="1"/>
        <v>0.35468097178579872</v>
      </c>
      <c r="X28" s="145">
        <v>-0.64531902821420128</v>
      </c>
      <c r="Z28" s="50">
        <f>W28</f>
        <v>0.35468097178579872</v>
      </c>
      <c r="AA28" s="43" t="s">
        <v>166</v>
      </c>
      <c r="AB28" s="43" t="s">
        <v>167</v>
      </c>
      <c r="AC28" s="43" t="s">
        <v>157</v>
      </c>
      <c r="AD28" s="43" t="s">
        <v>43</v>
      </c>
      <c r="AE28" s="43" t="s">
        <v>69</v>
      </c>
      <c r="AF28" s="43" t="s">
        <v>568</v>
      </c>
    </row>
    <row r="29" spans="2:32" x14ac:dyDescent="0.3">
      <c r="B29" s="4">
        <v>26</v>
      </c>
      <c r="C29" s="43" t="s">
        <v>168</v>
      </c>
      <c r="D29" s="43" t="s">
        <v>169</v>
      </c>
      <c r="E29" s="43" t="s">
        <v>30</v>
      </c>
      <c r="F29" s="43" t="s">
        <v>170</v>
      </c>
      <c r="G29" s="134">
        <v>43066</v>
      </c>
      <c r="H29" s="43" t="s">
        <v>32</v>
      </c>
      <c r="I29" s="43" t="s">
        <v>56</v>
      </c>
      <c r="J29" s="142">
        <v>316.66661534363448</v>
      </c>
      <c r="K29" s="142">
        <v>3359.1587288999999</v>
      </c>
      <c r="L29" s="143">
        <f>K29</f>
        <v>3359.1587288999999</v>
      </c>
      <c r="M29" s="144">
        <v>1</v>
      </c>
      <c r="N29" s="143">
        <f>L29*(1-M29)</f>
        <v>0</v>
      </c>
      <c r="O29" s="43" t="s">
        <v>48</v>
      </c>
      <c r="P29" s="79">
        <v>106.03974417000002</v>
      </c>
      <c r="Q29" s="51">
        <f>P29</f>
        <v>106.03974417000002</v>
      </c>
      <c r="R29" s="145">
        <v>0.16289999999999999</v>
      </c>
      <c r="S29" s="145">
        <v>9.1999999999999998E-2</v>
      </c>
      <c r="T29" s="67">
        <f t="shared" si="0"/>
        <v>0</v>
      </c>
      <c r="U29" s="82">
        <v>0</v>
      </c>
      <c r="V29" s="82">
        <v>0</v>
      </c>
      <c r="W29" s="50">
        <f t="shared" si="1"/>
        <v>0</v>
      </c>
      <c r="X29" s="145" t="s">
        <v>49</v>
      </c>
      <c r="Z29" s="50"/>
      <c r="AA29" s="43" t="s">
        <v>133</v>
      </c>
      <c r="AB29" s="43" t="s">
        <v>171</v>
      </c>
      <c r="AC29" s="43" t="s">
        <v>35</v>
      </c>
      <c r="AD29" s="43" t="s">
        <v>36</v>
      </c>
      <c r="AE29" s="43" t="s">
        <v>60</v>
      </c>
      <c r="AF29" s="43" t="s">
        <v>552</v>
      </c>
    </row>
    <row r="30" spans="2:32" x14ac:dyDescent="0.3">
      <c r="B30" s="4">
        <v>27</v>
      </c>
      <c r="C30" s="43" t="s">
        <v>172</v>
      </c>
      <c r="D30" s="43" t="s">
        <v>173</v>
      </c>
      <c r="E30" s="43" t="s">
        <v>30</v>
      </c>
      <c r="F30" s="43" t="s">
        <v>46</v>
      </c>
      <c r="G30" s="134">
        <v>42613</v>
      </c>
      <c r="H30" s="43" t="s">
        <v>32</v>
      </c>
      <c r="I30" s="43" t="s">
        <v>49</v>
      </c>
      <c r="J30" s="142">
        <v>199.91745</v>
      </c>
      <c r="K30" s="142" t="s">
        <v>612</v>
      </c>
      <c r="L30" s="143" t="s">
        <v>49</v>
      </c>
      <c r="M30" s="146">
        <v>0</v>
      </c>
      <c r="N30" s="143" t="s">
        <v>49</v>
      </c>
      <c r="O30" s="43" t="s">
        <v>97</v>
      </c>
      <c r="P30" s="79">
        <v>24.995609999999999</v>
      </c>
      <c r="R30" s="145">
        <v>0.125</v>
      </c>
      <c r="S30" s="145" t="s">
        <v>49</v>
      </c>
      <c r="T30" s="67">
        <f t="shared" si="0"/>
        <v>0</v>
      </c>
      <c r="U30" s="82">
        <v>0</v>
      </c>
      <c r="V30" s="82">
        <v>0</v>
      </c>
      <c r="W30" s="50">
        <f t="shared" si="1"/>
        <v>0</v>
      </c>
      <c r="X30" s="145">
        <v>0</v>
      </c>
      <c r="Y30" s="43" t="s">
        <v>174</v>
      </c>
      <c r="Z30" s="50">
        <f t="shared" ref="Z30:Z36" si="7">W30</f>
        <v>0</v>
      </c>
      <c r="AA30" s="43" t="s">
        <v>175</v>
      </c>
      <c r="AC30" s="43" t="s">
        <v>73</v>
      </c>
      <c r="AD30" s="43" t="s">
        <v>36</v>
      </c>
      <c r="AE30" s="43" t="s">
        <v>36</v>
      </c>
      <c r="AF30" s="43" t="s">
        <v>568</v>
      </c>
    </row>
    <row r="31" spans="2:32" x14ac:dyDescent="0.3">
      <c r="B31" s="4">
        <v>28</v>
      </c>
      <c r="C31" s="43" t="s">
        <v>176</v>
      </c>
      <c r="D31" s="43" t="s">
        <v>177</v>
      </c>
      <c r="E31" s="43" t="s">
        <v>39</v>
      </c>
      <c r="F31" s="43" t="s">
        <v>46</v>
      </c>
      <c r="G31" s="134">
        <v>42873</v>
      </c>
      <c r="H31" s="43" t="s">
        <v>32</v>
      </c>
      <c r="I31" s="43" t="s">
        <v>49</v>
      </c>
      <c r="J31" s="142">
        <v>273.52499999999998</v>
      </c>
      <c r="K31" s="142" t="s">
        <v>612</v>
      </c>
      <c r="L31" s="143" t="s">
        <v>49</v>
      </c>
      <c r="M31" s="146">
        <v>0</v>
      </c>
      <c r="N31" s="143" t="s">
        <v>49</v>
      </c>
      <c r="O31" s="43" t="s">
        <v>97</v>
      </c>
      <c r="P31" s="79">
        <v>161.94913300000002</v>
      </c>
      <c r="R31" s="145">
        <v>0.10050000000000001</v>
      </c>
      <c r="S31" s="145" t="s">
        <v>49</v>
      </c>
      <c r="T31" s="67">
        <f t="shared" si="0"/>
        <v>161.84377817000001</v>
      </c>
      <c r="U31" s="82">
        <v>0</v>
      </c>
      <c r="V31" s="82">
        <v>161.84377817000001</v>
      </c>
      <c r="W31" s="50">
        <f t="shared" si="1"/>
        <v>0.99934945727681046</v>
      </c>
      <c r="X31" s="145">
        <v>-6.5054272318965101E-4</v>
      </c>
      <c r="Y31" s="43" t="s">
        <v>178</v>
      </c>
      <c r="Z31" s="50">
        <f t="shared" si="7"/>
        <v>0.99934945727681046</v>
      </c>
      <c r="AA31" s="43" t="s">
        <v>87</v>
      </c>
      <c r="AB31" s="43" t="s">
        <v>179</v>
      </c>
      <c r="AC31" s="43" t="s">
        <v>68</v>
      </c>
      <c r="AD31" s="43" t="s">
        <v>43</v>
      </c>
      <c r="AE31" s="43" t="s">
        <v>43</v>
      </c>
      <c r="AF31" s="43" t="s">
        <v>461</v>
      </c>
    </row>
    <row r="32" spans="2:32" x14ac:dyDescent="0.3">
      <c r="B32" s="4">
        <v>29</v>
      </c>
      <c r="C32" s="43" t="s">
        <v>180</v>
      </c>
      <c r="D32" s="43" t="s">
        <v>181</v>
      </c>
      <c r="E32" s="43" t="s">
        <v>39</v>
      </c>
      <c r="F32" s="43" t="s">
        <v>182</v>
      </c>
      <c r="G32" s="134">
        <v>42273</v>
      </c>
      <c r="H32" s="43" t="s">
        <v>160</v>
      </c>
      <c r="I32" s="43" t="s">
        <v>49</v>
      </c>
      <c r="J32" s="142">
        <v>202.274483</v>
      </c>
      <c r="K32" s="142" t="s">
        <v>612</v>
      </c>
      <c r="L32" s="143" t="s">
        <v>49</v>
      </c>
      <c r="M32" s="146">
        <v>0</v>
      </c>
      <c r="N32" s="143" t="s">
        <v>49</v>
      </c>
      <c r="O32" s="43" t="s">
        <v>97</v>
      </c>
      <c r="P32" s="79">
        <v>52.382275000000007</v>
      </c>
      <c r="R32" s="145">
        <v>0.10998588903392922</v>
      </c>
      <c r="S32" s="145" t="s">
        <v>49</v>
      </c>
      <c r="T32" s="67">
        <f t="shared" si="0"/>
        <v>52.111469</v>
      </c>
      <c r="U32" s="82">
        <v>0</v>
      </c>
      <c r="V32" s="82">
        <v>52.111469</v>
      </c>
      <c r="W32" s="50">
        <f t="shared" si="1"/>
        <v>0.99483019781023241</v>
      </c>
      <c r="X32" s="145">
        <v>-3.2642647624015813E-3</v>
      </c>
      <c r="Y32" s="43" t="s">
        <v>183</v>
      </c>
      <c r="Z32" s="50">
        <f t="shared" si="7"/>
        <v>0.99483019781023241</v>
      </c>
      <c r="AA32" s="43" t="s">
        <v>184</v>
      </c>
      <c r="AB32" s="43" t="s">
        <v>185</v>
      </c>
      <c r="AC32" s="43" t="s">
        <v>35</v>
      </c>
      <c r="AD32" s="43" t="s">
        <v>43</v>
      </c>
      <c r="AE32" s="43" t="s">
        <v>43</v>
      </c>
      <c r="AF32" s="43" t="s">
        <v>461</v>
      </c>
    </row>
    <row r="33" spans="2:32" x14ac:dyDescent="0.3">
      <c r="B33" s="4">
        <v>30</v>
      </c>
      <c r="C33" s="43" t="s">
        <v>186</v>
      </c>
      <c r="D33" s="43" t="s">
        <v>187</v>
      </c>
      <c r="E33" s="43" t="s">
        <v>81</v>
      </c>
      <c r="F33" s="43" t="s">
        <v>31</v>
      </c>
      <c r="G33" s="134">
        <v>42212</v>
      </c>
      <c r="H33" s="43" t="s">
        <v>32</v>
      </c>
      <c r="I33" s="43" t="s">
        <v>49</v>
      </c>
      <c r="J33" s="142">
        <v>125.0025</v>
      </c>
      <c r="K33" s="142" t="s">
        <v>612</v>
      </c>
      <c r="L33" s="143" t="s">
        <v>49</v>
      </c>
      <c r="M33" s="146">
        <v>0</v>
      </c>
      <c r="N33" s="143" t="s">
        <v>49</v>
      </c>
      <c r="O33" s="43" t="s">
        <v>191</v>
      </c>
      <c r="P33" s="79">
        <v>12.50375</v>
      </c>
      <c r="R33" s="145">
        <v>0.1</v>
      </c>
      <c r="S33" s="145" t="s">
        <v>49</v>
      </c>
      <c r="T33" s="67">
        <f t="shared" si="0"/>
        <v>7.5481780000000001</v>
      </c>
      <c r="U33" s="82">
        <v>0</v>
      </c>
      <c r="V33" s="82">
        <v>7.5481780000000001</v>
      </c>
      <c r="W33" s="50">
        <f t="shared" si="1"/>
        <v>0.60367313805858247</v>
      </c>
      <c r="X33" s="145">
        <v>-0.39632686194141764</v>
      </c>
      <c r="Z33" s="50">
        <f t="shared" si="7"/>
        <v>0.60367313805858247</v>
      </c>
      <c r="AA33" s="43" t="s">
        <v>49</v>
      </c>
      <c r="AD33" s="43" t="s">
        <v>43</v>
      </c>
      <c r="AE33" s="43" t="s">
        <v>43</v>
      </c>
      <c r="AF33" s="43" t="s">
        <v>568</v>
      </c>
    </row>
    <row r="34" spans="2:32" x14ac:dyDescent="0.3">
      <c r="B34" s="4">
        <v>31</v>
      </c>
      <c r="C34" s="43" t="s">
        <v>188</v>
      </c>
      <c r="D34" s="43" t="s">
        <v>189</v>
      </c>
      <c r="E34" s="43" t="s">
        <v>39</v>
      </c>
      <c r="F34" s="43" t="s">
        <v>190</v>
      </c>
      <c r="G34" s="134">
        <v>42299</v>
      </c>
      <c r="H34" s="43" t="s">
        <v>32</v>
      </c>
      <c r="I34" s="43" t="s">
        <v>49</v>
      </c>
      <c r="J34" s="142">
        <v>118.20699999999999</v>
      </c>
      <c r="K34" s="142" t="s">
        <v>612</v>
      </c>
      <c r="L34" s="143" t="s">
        <v>49</v>
      </c>
      <c r="M34" s="146">
        <v>0</v>
      </c>
      <c r="N34" s="143" t="s">
        <v>49</v>
      </c>
      <c r="O34" s="43" t="s">
        <v>191</v>
      </c>
      <c r="P34" s="79">
        <v>9.3062749999999994</v>
      </c>
      <c r="R34" s="145">
        <v>3.7069212867025858E-2</v>
      </c>
      <c r="S34" s="145" t="s">
        <v>49</v>
      </c>
      <c r="T34" s="67">
        <f t="shared" si="0"/>
        <v>1.16835</v>
      </c>
      <c r="U34" s="82">
        <v>0</v>
      </c>
      <c r="V34" s="82">
        <v>1.16835</v>
      </c>
      <c r="W34" s="50">
        <f t="shared" si="1"/>
        <v>0.12554432358811662</v>
      </c>
      <c r="X34" s="145">
        <v>-0.87445567641188338</v>
      </c>
      <c r="Z34" s="50">
        <f t="shared" si="7"/>
        <v>0.12554432358811662</v>
      </c>
      <c r="AA34" s="43" t="s">
        <v>49</v>
      </c>
      <c r="AD34" s="43" t="s">
        <v>74</v>
      </c>
      <c r="AE34" s="43" t="s">
        <v>74</v>
      </c>
      <c r="AF34" s="43" t="s">
        <v>568</v>
      </c>
    </row>
    <row r="35" spans="2:32" x14ac:dyDescent="0.3">
      <c r="B35" s="4">
        <v>32</v>
      </c>
      <c r="C35" s="43" t="s">
        <v>192</v>
      </c>
      <c r="D35" s="43" t="s">
        <v>193</v>
      </c>
      <c r="E35" s="43" t="s">
        <v>30</v>
      </c>
      <c r="F35" s="43" t="s">
        <v>170</v>
      </c>
      <c r="G35" s="134">
        <v>42291</v>
      </c>
      <c r="H35" s="43" t="s">
        <v>32</v>
      </c>
      <c r="I35" s="43" t="s">
        <v>49</v>
      </c>
      <c r="J35" s="142">
        <v>179.99446699999999</v>
      </c>
      <c r="K35" s="142" t="s">
        <v>612</v>
      </c>
      <c r="L35" s="143" t="s">
        <v>49</v>
      </c>
      <c r="M35" s="146">
        <v>0</v>
      </c>
      <c r="N35" s="143" t="s">
        <v>49</v>
      </c>
      <c r="O35" s="43" t="s">
        <v>194</v>
      </c>
      <c r="P35" s="79">
        <v>113.778357268541</v>
      </c>
      <c r="R35" s="145">
        <v>0.13750000000000001</v>
      </c>
      <c r="S35" s="145" t="s">
        <v>49</v>
      </c>
      <c r="T35" s="67">
        <f t="shared" si="0"/>
        <v>0.40423399999999998</v>
      </c>
      <c r="U35" s="82">
        <v>0</v>
      </c>
      <c r="V35" s="82">
        <v>0.40423399999999998</v>
      </c>
      <c r="W35" s="50">
        <f t="shared" si="1"/>
        <v>3.552819795472369E-3</v>
      </c>
      <c r="X35" s="145">
        <v>-0.9964471802045276</v>
      </c>
      <c r="Y35" s="43" t="s">
        <v>195</v>
      </c>
      <c r="Z35" s="50">
        <f t="shared" si="7"/>
        <v>3.552819795472369E-3</v>
      </c>
      <c r="AA35" s="43" t="s">
        <v>196</v>
      </c>
      <c r="AB35" s="43" t="s">
        <v>197</v>
      </c>
      <c r="AC35" s="43" t="s">
        <v>68</v>
      </c>
      <c r="AD35" s="43" t="s">
        <v>43</v>
      </c>
      <c r="AE35" s="43" t="s">
        <v>43</v>
      </c>
      <c r="AF35" s="43" t="s">
        <v>568</v>
      </c>
    </row>
    <row r="36" spans="2:32" x14ac:dyDescent="0.3">
      <c r="B36" s="4">
        <v>33</v>
      </c>
      <c r="C36" s="43" t="s">
        <v>198</v>
      </c>
      <c r="D36" s="43" t="s">
        <v>199</v>
      </c>
      <c r="E36" s="43" t="s">
        <v>81</v>
      </c>
      <c r="F36" s="43" t="s">
        <v>40</v>
      </c>
      <c r="G36" s="134">
        <v>42443</v>
      </c>
      <c r="H36" s="43" t="s">
        <v>32</v>
      </c>
      <c r="I36" s="43" t="s">
        <v>49</v>
      </c>
      <c r="J36" s="142">
        <v>156.268294</v>
      </c>
      <c r="K36" s="142" t="s">
        <v>612</v>
      </c>
      <c r="L36" s="143" t="s">
        <v>49</v>
      </c>
      <c r="M36" s="146">
        <v>0</v>
      </c>
      <c r="N36" s="143" t="s">
        <v>49</v>
      </c>
      <c r="O36" s="43" t="s">
        <v>191</v>
      </c>
      <c r="P36" s="79">
        <v>78.397950999999978</v>
      </c>
      <c r="R36" s="145">
        <v>0.16</v>
      </c>
      <c r="S36" s="145" t="s">
        <v>49</v>
      </c>
      <c r="T36" s="67">
        <f t="shared" ref="T36:T54" si="8">U36+V36</f>
        <v>3.5459999999999998E-2</v>
      </c>
      <c r="U36" s="82">
        <v>0</v>
      </c>
      <c r="V36" s="82">
        <v>3.5459999999999998E-2</v>
      </c>
      <c r="W36" s="50">
        <f t="shared" ref="W36:W54" si="9">T36/P36</f>
        <v>4.5230773952242717E-4</v>
      </c>
      <c r="X36" s="145" t="s">
        <v>49</v>
      </c>
      <c r="Z36" s="50">
        <f t="shared" si="7"/>
        <v>4.5230773952242717E-4</v>
      </c>
      <c r="AA36" s="43" t="s">
        <v>200</v>
      </c>
      <c r="AB36" s="43" t="s">
        <v>201</v>
      </c>
      <c r="AC36" s="43" t="s">
        <v>68</v>
      </c>
      <c r="AD36" s="43" t="s">
        <v>107</v>
      </c>
      <c r="AE36" s="43" t="s">
        <v>107</v>
      </c>
      <c r="AF36" s="43" t="s">
        <v>568</v>
      </c>
    </row>
    <row r="37" spans="2:32" x14ac:dyDescent="0.3">
      <c r="B37" s="4">
        <v>34</v>
      </c>
      <c r="C37" s="43" t="s">
        <v>202</v>
      </c>
      <c r="D37" s="43" t="s">
        <v>203</v>
      </c>
      <c r="E37" s="43" t="s">
        <v>92</v>
      </c>
      <c r="F37" s="43" t="s">
        <v>204</v>
      </c>
      <c r="G37" s="134">
        <v>43061</v>
      </c>
      <c r="H37" s="43" t="s">
        <v>32</v>
      </c>
      <c r="I37" s="43" t="s">
        <v>49</v>
      </c>
      <c r="J37" s="142">
        <v>664.51577262000001</v>
      </c>
      <c r="K37" s="142">
        <v>1428.442</v>
      </c>
      <c r="L37" s="143" t="s">
        <v>49</v>
      </c>
      <c r="M37" s="146">
        <v>0</v>
      </c>
      <c r="N37" s="143" t="s">
        <v>49</v>
      </c>
      <c r="O37" s="43" t="s">
        <v>48</v>
      </c>
      <c r="P37" s="79">
        <v>77.354773499999993</v>
      </c>
      <c r="Q37" s="51">
        <f t="shared" ref="Q37:Q41" si="10">P37</f>
        <v>77.354773499999993</v>
      </c>
      <c r="R37" s="145">
        <v>9.6100000000000005E-2</v>
      </c>
      <c r="S37" s="145" t="s">
        <v>49</v>
      </c>
      <c r="T37" s="67">
        <f t="shared" si="8"/>
        <v>0</v>
      </c>
      <c r="U37" s="82">
        <v>0</v>
      </c>
      <c r="V37" s="82">
        <v>0</v>
      </c>
      <c r="W37" s="50">
        <f t="shared" si="9"/>
        <v>0</v>
      </c>
      <c r="X37" s="145" t="s">
        <v>49</v>
      </c>
      <c r="Z37" s="50"/>
      <c r="AA37" s="43" t="s">
        <v>205</v>
      </c>
      <c r="AC37" s="43" t="s">
        <v>206</v>
      </c>
      <c r="AD37" s="43" t="s">
        <v>36</v>
      </c>
      <c r="AE37" s="43" t="s">
        <v>36</v>
      </c>
      <c r="AF37" s="43" t="s">
        <v>552</v>
      </c>
    </row>
    <row r="38" spans="2:32" x14ac:dyDescent="0.3">
      <c r="B38" s="4">
        <v>35</v>
      </c>
      <c r="C38" s="43" t="s">
        <v>254</v>
      </c>
      <c r="D38" s="43" t="s">
        <v>255</v>
      </c>
      <c r="E38" s="43" t="s">
        <v>256</v>
      </c>
      <c r="F38" s="43" t="s">
        <v>257</v>
      </c>
      <c r="G38" s="134">
        <v>42332</v>
      </c>
      <c r="H38" s="43" t="s">
        <v>32</v>
      </c>
      <c r="I38" s="43" t="s">
        <v>49</v>
      </c>
      <c r="J38" s="142" t="s">
        <v>49</v>
      </c>
      <c r="K38" s="142" t="s">
        <v>612</v>
      </c>
      <c r="L38" s="143" t="s">
        <v>49</v>
      </c>
      <c r="M38" s="146">
        <v>0</v>
      </c>
      <c r="N38" s="143" t="s">
        <v>49</v>
      </c>
      <c r="O38" s="43" t="s">
        <v>48</v>
      </c>
      <c r="P38" s="79">
        <v>57.333411999999996</v>
      </c>
      <c r="Q38" s="51">
        <f t="shared" si="10"/>
        <v>57.333411999999996</v>
      </c>
      <c r="R38" s="145">
        <v>5.4565115735328504E-2</v>
      </c>
      <c r="S38" s="145" t="s">
        <v>49</v>
      </c>
      <c r="T38" s="67">
        <f t="shared" si="8"/>
        <v>0</v>
      </c>
      <c r="U38" s="82">
        <v>0</v>
      </c>
      <c r="V38" s="82">
        <v>0</v>
      </c>
      <c r="W38" s="50">
        <f t="shared" si="9"/>
        <v>0</v>
      </c>
      <c r="X38" s="145" t="s">
        <v>49</v>
      </c>
      <c r="Z38" s="50"/>
      <c r="AA38" s="43" t="s">
        <v>49</v>
      </c>
      <c r="AC38" s="43" t="s">
        <v>35</v>
      </c>
      <c r="AD38" s="43" t="s">
        <v>36</v>
      </c>
      <c r="AE38" s="43" t="s">
        <v>36</v>
      </c>
      <c r="AF38" s="43" t="s">
        <v>552</v>
      </c>
    </row>
    <row r="39" spans="2:32" x14ac:dyDescent="0.3">
      <c r="C39" s="43" t="s">
        <v>207</v>
      </c>
      <c r="D39" s="43" t="s">
        <v>208</v>
      </c>
      <c r="E39" s="43" t="s">
        <v>92</v>
      </c>
      <c r="F39" s="43" t="s">
        <v>127</v>
      </c>
      <c r="G39" s="134">
        <v>43089</v>
      </c>
      <c r="H39" s="43" t="s">
        <v>32</v>
      </c>
      <c r="I39" s="43" t="s">
        <v>49</v>
      </c>
      <c r="J39" s="130">
        <v>66.454987197440005</v>
      </c>
      <c r="K39" s="130" t="s">
        <v>612</v>
      </c>
      <c r="L39" s="147" t="s">
        <v>49</v>
      </c>
      <c r="M39" s="53">
        <v>0</v>
      </c>
      <c r="N39" s="147" t="s">
        <v>49</v>
      </c>
      <c r="O39" s="43" t="s">
        <v>48</v>
      </c>
      <c r="P39" s="79">
        <v>11.634956000000001</v>
      </c>
      <c r="Q39" s="51">
        <f t="shared" si="10"/>
        <v>11.634956000000001</v>
      </c>
      <c r="R39" s="145" t="s">
        <v>49</v>
      </c>
      <c r="S39" s="145" t="s">
        <v>49</v>
      </c>
      <c r="T39" s="67">
        <f t="shared" si="8"/>
        <v>0</v>
      </c>
      <c r="U39" s="82">
        <v>0</v>
      </c>
      <c r="V39" s="82">
        <v>0</v>
      </c>
      <c r="W39" s="82">
        <f t="shared" si="9"/>
        <v>0</v>
      </c>
      <c r="X39" s="145" t="s">
        <v>49</v>
      </c>
      <c r="Z39" s="82"/>
      <c r="AA39" s="43" t="s">
        <v>209</v>
      </c>
      <c r="AC39" s="43" t="s">
        <v>210</v>
      </c>
      <c r="AD39" s="43" t="s">
        <v>69</v>
      </c>
      <c r="AE39" s="43" t="s">
        <v>36</v>
      </c>
      <c r="AF39" s="43" t="s">
        <v>552</v>
      </c>
    </row>
    <row r="40" spans="2:32" x14ac:dyDescent="0.3">
      <c r="B40" s="4">
        <v>36</v>
      </c>
      <c r="C40" s="43" t="s">
        <v>211</v>
      </c>
      <c r="D40" s="43" t="s">
        <v>212</v>
      </c>
      <c r="E40" s="43" t="s">
        <v>30</v>
      </c>
      <c r="F40" s="43" t="s">
        <v>213</v>
      </c>
      <c r="G40" s="134">
        <v>42299</v>
      </c>
      <c r="H40" s="43" t="s">
        <v>32</v>
      </c>
      <c r="I40" s="43" t="s">
        <v>139</v>
      </c>
      <c r="J40" s="142">
        <v>154.49637399999997</v>
      </c>
      <c r="K40" s="142">
        <v>166.59892500000001</v>
      </c>
      <c r="L40" s="143">
        <f>K40</f>
        <v>166.59892500000001</v>
      </c>
      <c r="M40" s="144">
        <v>1</v>
      </c>
      <c r="N40" s="143">
        <f>L40*(1-M40)</f>
        <v>0</v>
      </c>
      <c r="O40" s="43" t="s">
        <v>48</v>
      </c>
      <c r="P40" s="79">
        <v>60.994072000000017</v>
      </c>
      <c r="Q40" s="51">
        <f t="shared" si="10"/>
        <v>60.994072000000017</v>
      </c>
      <c r="R40" s="145">
        <v>0.1081</v>
      </c>
      <c r="S40" s="145">
        <v>0.13700000000000001</v>
      </c>
      <c r="T40" s="67">
        <f t="shared" si="8"/>
        <v>8.907E-3</v>
      </c>
      <c r="U40" s="82">
        <v>0</v>
      </c>
      <c r="V40" s="82">
        <v>8.907E-3</v>
      </c>
      <c r="W40" s="50">
        <f t="shared" si="9"/>
        <v>1.4603058474272709E-4</v>
      </c>
      <c r="X40" s="145" t="s">
        <v>49</v>
      </c>
      <c r="Z40" s="50"/>
      <c r="AA40" s="43" t="s">
        <v>214</v>
      </c>
      <c r="AC40" s="43" t="s">
        <v>35</v>
      </c>
      <c r="AD40" s="43" t="s">
        <v>614</v>
      </c>
      <c r="AE40" s="43" t="s">
        <v>60</v>
      </c>
      <c r="AF40" s="43" t="s">
        <v>552</v>
      </c>
    </row>
    <row r="41" spans="2:32" x14ac:dyDescent="0.3">
      <c r="B41" s="4">
        <v>37</v>
      </c>
      <c r="C41" s="43" t="s">
        <v>215</v>
      </c>
      <c r="D41" s="43" t="s">
        <v>216</v>
      </c>
      <c r="E41" s="43" t="s">
        <v>92</v>
      </c>
      <c r="F41" s="43" t="s">
        <v>204</v>
      </c>
      <c r="G41" s="134">
        <v>42219</v>
      </c>
      <c r="H41" s="43" t="s">
        <v>32</v>
      </c>
      <c r="I41" s="43" t="s">
        <v>49</v>
      </c>
      <c r="J41" s="142">
        <v>267.17559999999997</v>
      </c>
      <c r="K41" s="142" t="s">
        <v>612</v>
      </c>
      <c r="L41" s="143" t="s">
        <v>49</v>
      </c>
      <c r="M41" s="146">
        <v>0</v>
      </c>
      <c r="N41" s="143" t="s">
        <v>49</v>
      </c>
      <c r="O41" s="43" t="s">
        <v>191</v>
      </c>
      <c r="P41" s="79">
        <v>22.273202911599999</v>
      </c>
      <c r="Q41" s="51">
        <f t="shared" si="10"/>
        <v>22.273202911599999</v>
      </c>
      <c r="R41" s="145" t="s">
        <v>49</v>
      </c>
      <c r="S41" s="145" t="s">
        <v>49</v>
      </c>
      <c r="T41" s="67">
        <f t="shared" si="8"/>
        <v>0</v>
      </c>
      <c r="U41" s="82">
        <v>0</v>
      </c>
      <c r="V41" s="82">
        <v>0</v>
      </c>
      <c r="W41" s="50">
        <f t="shared" si="9"/>
        <v>0</v>
      </c>
      <c r="X41" s="145" t="s">
        <v>49</v>
      </c>
      <c r="Z41" s="50">
        <f t="shared" ref="Z41:Z48" si="11">W41</f>
        <v>0</v>
      </c>
      <c r="AA41" s="43" t="s">
        <v>217</v>
      </c>
      <c r="AC41" s="43" t="s">
        <v>157</v>
      </c>
      <c r="AD41" s="43" t="s">
        <v>36</v>
      </c>
      <c r="AE41" s="43" t="s">
        <v>36</v>
      </c>
      <c r="AF41" s="43" t="s">
        <v>552</v>
      </c>
    </row>
    <row r="42" spans="2:32" x14ac:dyDescent="0.3">
      <c r="B42" s="4">
        <v>38</v>
      </c>
      <c r="C42" s="43" t="s">
        <v>218</v>
      </c>
      <c r="D42" s="43" t="s">
        <v>219</v>
      </c>
      <c r="E42" s="43" t="s">
        <v>220</v>
      </c>
      <c r="F42" s="43" t="s">
        <v>102</v>
      </c>
      <c r="G42" s="134">
        <v>42458</v>
      </c>
      <c r="H42" s="43" t="s">
        <v>32</v>
      </c>
      <c r="I42" s="43" t="s">
        <v>49</v>
      </c>
      <c r="J42" s="142">
        <v>326.36290365000002</v>
      </c>
      <c r="K42" s="142" t="s">
        <v>612</v>
      </c>
      <c r="L42" s="143" t="s">
        <v>49</v>
      </c>
      <c r="M42" s="146">
        <v>0</v>
      </c>
      <c r="N42" s="143" t="s">
        <v>49</v>
      </c>
      <c r="O42" s="43" t="s">
        <v>191</v>
      </c>
      <c r="P42" s="79">
        <v>75.959076376189387</v>
      </c>
      <c r="R42" s="145">
        <v>0.1021</v>
      </c>
      <c r="S42" s="145" t="s">
        <v>49</v>
      </c>
      <c r="T42" s="67">
        <f t="shared" si="8"/>
        <v>0.870224</v>
      </c>
      <c r="U42" s="82">
        <v>0</v>
      </c>
      <c r="V42" s="82">
        <v>0.870224</v>
      </c>
      <c r="W42" s="50">
        <f t="shared" si="9"/>
        <v>1.1456484748316212E-2</v>
      </c>
      <c r="X42" s="145" t="s">
        <v>49</v>
      </c>
      <c r="Z42" s="50">
        <f t="shared" si="11"/>
        <v>1.1456484748316212E-2</v>
      </c>
      <c r="AA42" s="43" t="s">
        <v>221</v>
      </c>
      <c r="AB42" s="43" t="s">
        <v>222</v>
      </c>
      <c r="AC42" s="43" t="s">
        <v>124</v>
      </c>
      <c r="AD42" s="43" t="s">
        <v>69</v>
      </c>
      <c r="AE42" s="43" t="s">
        <v>69</v>
      </c>
      <c r="AF42" s="43" t="s">
        <v>568</v>
      </c>
    </row>
    <row r="43" spans="2:32" x14ac:dyDescent="0.3">
      <c r="B43" s="4">
        <v>39</v>
      </c>
      <c r="C43" s="43" t="s">
        <v>223</v>
      </c>
      <c r="D43" s="43" t="s">
        <v>224</v>
      </c>
      <c r="E43" s="43" t="s">
        <v>30</v>
      </c>
      <c r="F43" s="43" t="s">
        <v>170</v>
      </c>
      <c r="G43" s="134">
        <v>42633</v>
      </c>
      <c r="H43" s="43" t="s">
        <v>65</v>
      </c>
      <c r="I43" s="43" t="s">
        <v>49</v>
      </c>
      <c r="J43" s="142">
        <v>263.79671999999999</v>
      </c>
      <c r="K43" s="142" t="s">
        <v>612</v>
      </c>
      <c r="L43" s="143" t="s">
        <v>49</v>
      </c>
      <c r="M43" s="146">
        <v>0</v>
      </c>
      <c r="N43" s="143" t="s">
        <v>49</v>
      </c>
      <c r="O43" s="43" t="s">
        <v>191</v>
      </c>
      <c r="P43" s="79">
        <v>45.054723000000003</v>
      </c>
      <c r="R43" s="145">
        <v>9.8500000000000004E-2</v>
      </c>
      <c r="S43" s="145" t="s">
        <v>49</v>
      </c>
      <c r="T43" s="67">
        <f t="shared" si="8"/>
        <v>5.6426000000000004E-2</v>
      </c>
      <c r="U43" s="82">
        <v>0</v>
      </c>
      <c r="V43" s="82">
        <v>5.6426000000000004E-2</v>
      </c>
      <c r="W43" s="50">
        <f t="shared" si="9"/>
        <v>1.2523881236601987E-3</v>
      </c>
      <c r="X43" s="145" t="s">
        <v>49</v>
      </c>
      <c r="Z43" s="50">
        <f t="shared" si="11"/>
        <v>1.2523881236601987E-3</v>
      </c>
      <c r="AA43" s="43" t="s">
        <v>225</v>
      </c>
      <c r="AB43" s="43" t="s">
        <v>226</v>
      </c>
      <c r="AC43" s="43" t="s">
        <v>35</v>
      </c>
      <c r="AD43" s="43" t="s">
        <v>36</v>
      </c>
      <c r="AE43" s="43" t="s">
        <v>36</v>
      </c>
      <c r="AF43" s="43" t="s">
        <v>568</v>
      </c>
    </row>
    <row r="44" spans="2:32" x14ac:dyDescent="0.3">
      <c r="B44" s="4">
        <v>40</v>
      </c>
      <c r="C44" s="43" t="s">
        <v>227</v>
      </c>
      <c r="D44" s="43" t="s">
        <v>228</v>
      </c>
      <c r="E44" s="43" t="s">
        <v>63</v>
      </c>
      <c r="F44" s="43" t="s">
        <v>86</v>
      </c>
      <c r="G44" s="134">
        <v>43021</v>
      </c>
      <c r="H44" s="43" t="s">
        <v>32</v>
      </c>
      <c r="I44" s="43" t="s">
        <v>49</v>
      </c>
      <c r="J44" s="142">
        <v>419.30169684999998</v>
      </c>
      <c r="K44" s="142" t="s">
        <v>612</v>
      </c>
      <c r="L44" s="143" t="s">
        <v>49</v>
      </c>
      <c r="M44" s="146">
        <v>0</v>
      </c>
      <c r="N44" s="143" t="s">
        <v>49</v>
      </c>
      <c r="O44" s="43" t="s">
        <v>191</v>
      </c>
      <c r="P44" s="79">
        <v>24.044820969200003</v>
      </c>
      <c r="R44" s="145">
        <v>5.67E-2</v>
      </c>
      <c r="S44" s="145" t="s">
        <v>49</v>
      </c>
      <c r="T44" s="67">
        <f t="shared" si="8"/>
        <v>2.1052000000000001E-2</v>
      </c>
      <c r="U44" s="82">
        <v>0</v>
      </c>
      <c r="V44" s="82">
        <v>2.1052000000000001E-2</v>
      </c>
      <c r="W44" s="50">
        <f t="shared" si="9"/>
        <v>8.755315760914324E-4</v>
      </c>
      <c r="X44" s="145" t="s">
        <v>49</v>
      </c>
      <c r="Z44" s="50">
        <f t="shared" si="11"/>
        <v>8.755315760914324E-4</v>
      </c>
      <c r="AA44" s="43" t="s">
        <v>229</v>
      </c>
      <c r="AC44" s="43" t="s">
        <v>230</v>
      </c>
      <c r="AD44" s="43" t="s">
        <v>36</v>
      </c>
      <c r="AE44" s="43" t="s">
        <v>36</v>
      </c>
      <c r="AF44" s="43" t="s">
        <v>568</v>
      </c>
    </row>
    <row r="45" spans="2:32" x14ac:dyDescent="0.3">
      <c r="B45" s="4">
        <v>41</v>
      </c>
      <c r="C45" s="43" t="s">
        <v>231</v>
      </c>
      <c r="D45" s="43" t="s">
        <v>232</v>
      </c>
      <c r="E45" s="43" t="s">
        <v>30</v>
      </c>
      <c r="F45" s="43" t="s">
        <v>204</v>
      </c>
      <c r="G45" s="134">
        <v>42445</v>
      </c>
      <c r="H45" s="43" t="s">
        <v>32</v>
      </c>
      <c r="I45" s="43" t="s">
        <v>49</v>
      </c>
      <c r="J45" s="142">
        <v>198.40506999999999</v>
      </c>
      <c r="K45" s="142" t="s">
        <v>612</v>
      </c>
      <c r="L45" s="143" t="s">
        <v>49</v>
      </c>
      <c r="M45" s="146">
        <v>0</v>
      </c>
      <c r="N45" s="143" t="s">
        <v>49</v>
      </c>
      <c r="O45" s="43" t="s">
        <v>48</v>
      </c>
      <c r="P45" s="79">
        <v>33.003202999999999</v>
      </c>
      <c r="R45" s="145">
        <v>0.125</v>
      </c>
      <c r="S45" s="145" t="s">
        <v>49</v>
      </c>
      <c r="T45" s="67">
        <f t="shared" si="8"/>
        <v>1.772E-2</v>
      </c>
      <c r="U45" s="82">
        <v>0</v>
      </c>
      <c r="V45" s="82">
        <v>1.772E-2</v>
      </c>
      <c r="W45" s="50">
        <f t="shared" si="9"/>
        <v>5.3691758342364526E-4</v>
      </c>
      <c r="X45" s="145" t="s">
        <v>49</v>
      </c>
      <c r="Z45" s="50"/>
      <c r="AA45" s="43" t="s">
        <v>233</v>
      </c>
      <c r="AC45" s="43" t="s">
        <v>35</v>
      </c>
      <c r="AD45" s="43" t="s">
        <v>614</v>
      </c>
      <c r="AE45" s="43" t="s">
        <v>60</v>
      </c>
      <c r="AF45" s="43" t="s">
        <v>568</v>
      </c>
    </row>
    <row r="46" spans="2:32" x14ac:dyDescent="0.3">
      <c r="B46" s="4">
        <v>42</v>
      </c>
      <c r="C46" s="43" t="s">
        <v>234</v>
      </c>
      <c r="D46" s="43" t="s">
        <v>235</v>
      </c>
      <c r="E46" s="43" t="s">
        <v>39</v>
      </c>
      <c r="F46" s="43" t="s">
        <v>110</v>
      </c>
      <c r="G46" s="134">
        <v>42830</v>
      </c>
      <c r="H46" s="43" t="s">
        <v>32</v>
      </c>
      <c r="I46" s="43" t="s">
        <v>49</v>
      </c>
      <c r="J46" s="142">
        <v>50.0045</v>
      </c>
      <c r="K46" s="142" t="s">
        <v>612</v>
      </c>
      <c r="L46" s="143" t="s">
        <v>49</v>
      </c>
      <c r="M46" s="146">
        <v>0</v>
      </c>
      <c r="N46" s="143" t="s">
        <v>49</v>
      </c>
      <c r="O46" s="43" t="s">
        <v>191</v>
      </c>
      <c r="P46" s="79">
        <v>12.830489999999994</v>
      </c>
      <c r="R46" s="145">
        <v>0.1</v>
      </c>
      <c r="S46" s="145" t="s">
        <v>49</v>
      </c>
      <c r="T46" s="67">
        <f t="shared" si="8"/>
        <v>1.6758649999999999</v>
      </c>
      <c r="U46" s="82">
        <v>0</v>
      </c>
      <c r="V46" s="82">
        <v>1.6758649999999999</v>
      </c>
      <c r="W46" s="50">
        <f t="shared" si="9"/>
        <v>0.13061582215488268</v>
      </c>
      <c r="X46" s="145">
        <v>-0.86938417784511735</v>
      </c>
      <c r="Z46" s="50">
        <f t="shared" si="11"/>
        <v>0.13061582215488268</v>
      </c>
      <c r="AA46" s="43" t="s">
        <v>236</v>
      </c>
      <c r="AC46" s="43" t="s">
        <v>73</v>
      </c>
      <c r="AD46" s="43" t="s">
        <v>60</v>
      </c>
      <c r="AE46" s="43" t="s">
        <v>60</v>
      </c>
      <c r="AF46" s="43" t="s">
        <v>568</v>
      </c>
    </row>
    <row r="47" spans="2:32" x14ac:dyDescent="0.3">
      <c r="B47" s="4">
        <v>43</v>
      </c>
      <c r="C47" s="43" t="s">
        <v>237</v>
      </c>
      <c r="D47" s="43" t="s">
        <v>238</v>
      </c>
      <c r="E47" s="43" t="s">
        <v>220</v>
      </c>
      <c r="F47" s="43" t="s">
        <v>86</v>
      </c>
      <c r="G47" s="134">
        <v>42369</v>
      </c>
      <c r="H47" s="43" t="s">
        <v>32</v>
      </c>
      <c r="I47" s="43" t="s">
        <v>49</v>
      </c>
      <c r="J47" s="142">
        <v>201.28960899999998</v>
      </c>
      <c r="K47" s="142">
        <v>194.11536000000001</v>
      </c>
      <c r="L47" s="143">
        <f>K47</f>
        <v>194.11536000000001</v>
      </c>
      <c r="M47" s="144">
        <v>1</v>
      </c>
      <c r="N47" s="143">
        <f>L47*(1-M47)</f>
        <v>0</v>
      </c>
      <c r="O47" s="43" t="s">
        <v>48</v>
      </c>
      <c r="P47" s="79">
        <v>61.290408999999997</v>
      </c>
      <c r="Q47" s="51">
        <f>P47</f>
        <v>61.290408999999997</v>
      </c>
      <c r="R47" s="145">
        <v>0.3</v>
      </c>
      <c r="S47" s="145" t="s">
        <v>49</v>
      </c>
      <c r="T47" s="67">
        <f t="shared" si="8"/>
        <v>0</v>
      </c>
      <c r="U47" s="82">
        <v>0</v>
      </c>
      <c r="V47" s="82">
        <v>0</v>
      </c>
      <c r="W47" s="50">
        <f t="shared" si="9"/>
        <v>0</v>
      </c>
      <c r="X47" s="145" t="s">
        <v>49</v>
      </c>
      <c r="Z47" s="50"/>
      <c r="AA47" s="43" t="s">
        <v>239</v>
      </c>
      <c r="AC47" s="43" t="s">
        <v>35</v>
      </c>
      <c r="AD47" s="43" t="s">
        <v>36</v>
      </c>
      <c r="AE47" s="43" t="s">
        <v>36</v>
      </c>
      <c r="AF47" s="43" t="s">
        <v>552</v>
      </c>
    </row>
    <row r="48" spans="2:32" x14ac:dyDescent="0.3">
      <c r="B48" s="4">
        <v>44</v>
      </c>
      <c r="C48" s="43" t="s">
        <v>240</v>
      </c>
      <c r="D48" s="43" t="s">
        <v>241</v>
      </c>
      <c r="E48" s="43" t="s">
        <v>39</v>
      </c>
      <c r="F48" s="43" t="s">
        <v>213</v>
      </c>
      <c r="G48" s="134">
        <v>42446</v>
      </c>
      <c r="H48" s="43" t="s">
        <v>65</v>
      </c>
      <c r="I48" s="43" t="s">
        <v>49</v>
      </c>
      <c r="J48" s="142">
        <v>1061.5789944000001</v>
      </c>
      <c r="K48" s="142" t="s">
        <v>612</v>
      </c>
      <c r="L48" s="143" t="s">
        <v>49</v>
      </c>
      <c r="M48" s="146">
        <v>0</v>
      </c>
      <c r="N48" s="143" t="s">
        <v>49</v>
      </c>
      <c r="O48" s="43" t="s">
        <v>191</v>
      </c>
      <c r="P48" s="79">
        <v>82.994670619229993</v>
      </c>
      <c r="R48" s="145">
        <v>5.0963204566303127E-2</v>
      </c>
      <c r="S48" s="145" t="s">
        <v>49</v>
      </c>
      <c r="T48" s="67">
        <f t="shared" si="8"/>
        <v>3.4151352799999994</v>
      </c>
      <c r="U48" s="82">
        <v>0</v>
      </c>
      <c r="V48" s="82">
        <v>3.4151352799999994</v>
      </c>
      <c r="W48" s="50">
        <f t="shared" si="9"/>
        <v>4.1148850336044436E-2</v>
      </c>
      <c r="X48" s="145">
        <v>-0.42953258194029342</v>
      </c>
      <c r="Y48" s="43" t="s">
        <v>242</v>
      </c>
      <c r="Z48" s="50">
        <f t="shared" si="11"/>
        <v>4.1148850336044436E-2</v>
      </c>
      <c r="AA48" s="43" t="s">
        <v>243</v>
      </c>
      <c r="AC48" s="43" t="s">
        <v>157</v>
      </c>
      <c r="AD48" s="43" t="s">
        <v>107</v>
      </c>
      <c r="AE48" s="43" t="s">
        <v>107</v>
      </c>
      <c r="AF48" s="43" t="s">
        <v>568</v>
      </c>
    </row>
    <row r="49" spans="2:32" x14ac:dyDescent="0.3">
      <c r="B49" s="4">
        <v>45</v>
      </c>
      <c r="C49" s="43" t="s">
        <v>244</v>
      </c>
      <c r="D49" s="43" t="s">
        <v>245</v>
      </c>
      <c r="E49" s="43" t="s">
        <v>81</v>
      </c>
      <c r="F49" s="43" t="s">
        <v>31</v>
      </c>
      <c r="G49" s="134">
        <v>42459</v>
      </c>
      <c r="H49" s="43" t="s">
        <v>32</v>
      </c>
      <c r="I49" s="43" t="s">
        <v>49</v>
      </c>
      <c r="J49" s="142">
        <v>487.30005</v>
      </c>
      <c r="K49" s="142">
        <v>466.66410000000008</v>
      </c>
      <c r="L49" s="143">
        <f>K49</f>
        <v>466.66410000000008</v>
      </c>
      <c r="M49" s="144">
        <v>1</v>
      </c>
      <c r="N49" s="143">
        <f>L49*(1-M49)</f>
        <v>0</v>
      </c>
      <c r="O49" s="43" t="s">
        <v>48</v>
      </c>
      <c r="P49" s="79">
        <v>37.584027000000006</v>
      </c>
      <c r="Q49" s="51">
        <f t="shared" ref="Q49:Q50" si="12">P49</f>
        <v>37.584027000000006</v>
      </c>
      <c r="R49" s="145">
        <v>7.6999999999999999E-2</v>
      </c>
      <c r="S49" s="145" t="s">
        <v>49</v>
      </c>
      <c r="T49" s="67">
        <f t="shared" si="8"/>
        <v>0</v>
      </c>
      <c r="U49" s="82">
        <v>0</v>
      </c>
      <c r="V49" s="82">
        <v>0</v>
      </c>
      <c r="W49" s="50">
        <f t="shared" si="9"/>
        <v>0</v>
      </c>
      <c r="X49" s="145" t="s">
        <v>49</v>
      </c>
      <c r="Z49" s="50"/>
      <c r="AA49" s="43" t="s">
        <v>49</v>
      </c>
      <c r="AC49" s="43" t="s">
        <v>51</v>
      </c>
      <c r="AD49" s="43" t="s">
        <v>36</v>
      </c>
      <c r="AE49" s="43" t="s">
        <v>36</v>
      </c>
      <c r="AF49" s="43" t="s">
        <v>552</v>
      </c>
    </row>
    <row r="50" spans="2:32" x14ac:dyDescent="0.3">
      <c r="B50" s="4">
        <v>46</v>
      </c>
      <c r="C50" s="43" t="s">
        <v>246</v>
      </c>
      <c r="D50" s="43" t="s">
        <v>247</v>
      </c>
      <c r="E50" s="43" t="s">
        <v>63</v>
      </c>
      <c r="F50" s="43" t="s">
        <v>55</v>
      </c>
      <c r="G50" s="134">
        <v>42579</v>
      </c>
      <c r="H50" s="43" t="s">
        <v>32</v>
      </c>
      <c r="I50" s="43" t="s">
        <v>65</v>
      </c>
      <c r="J50" s="142">
        <v>605.18158496999513</v>
      </c>
      <c r="K50" s="142">
        <v>964.80303000000004</v>
      </c>
      <c r="L50" s="143">
        <f>K50</f>
        <v>964.80303000000004</v>
      </c>
      <c r="M50" s="144">
        <v>1</v>
      </c>
      <c r="N50" s="143">
        <f>L50*(1-M50)</f>
        <v>0</v>
      </c>
      <c r="O50" s="43" t="s">
        <v>48</v>
      </c>
      <c r="P50" s="79">
        <v>29.40971236</v>
      </c>
      <c r="Q50" s="51">
        <f t="shared" si="12"/>
        <v>29.40971236</v>
      </c>
      <c r="R50" s="145">
        <v>0.05</v>
      </c>
      <c r="S50" s="145">
        <v>4.9000000000000002E-2</v>
      </c>
      <c r="T50" s="67">
        <f t="shared" si="8"/>
        <v>0</v>
      </c>
      <c r="U50" s="82">
        <v>0</v>
      </c>
      <c r="V50" s="82">
        <v>0</v>
      </c>
      <c r="W50" s="50">
        <f t="shared" si="9"/>
        <v>0</v>
      </c>
      <c r="X50" s="145" t="s">
        <v>49</v>
      </c>
      <c r="Z50" s="50"/>
      <c r="AA50" s="43" t="s">
        <v>248</v>
      </c>
      <c r="AB50" s="43" t="s">
        <v>249</v>
      </c>
      <c r="AC50" s="43" t="s">
        <v>68</v>
      </c>
      <c r="AD50" s="43" t="s">
        <v>43</v>
      </c>
      <c r="AE50" s="43" t="s">
        <v>43</v>
      </c>
      <c r="AF50" s="43" t="s">
        <v>552</v>
      </c>
    </row>
    <row r="51" spans="2:32" x14ac:dyDescent="0.3">
      <c r="B51" s="4">
        <v>47</v>
      </c>
      <c r="C51" s="43" t="s">
        <v>250</v>
      </c>
      <c r="D51" s="43" t="s">
        <v>251</v>
      </c>
      <c r="E51" s="43" t="s">
        <v>30</v>
      </c>
      <c r="F51" s="43" t="s">
        <v>252</v>
      </c>
      <c r="G51" s="134">
        <v>42334</v>
      </c>
      <c r="H51" s="43" t="s">
        <v>32</v>
      </c>
      <c r="I51" s="43" t="s">
        <v>49</v>
      </c>
      <c r="J51" s="142">
        <v>104.235607</v>
      </c>
      <c r="K51" s="142" t="s">
        <v>612</v>
      </c>
      <c r="L51" s="143" t="str">
        <f>K51</f>
        <v>N.A</v>
      </c>
      <c r="M51" s="146">
        <v>0</v>
      </c>
      <c r="N51" s="143" t="s">
        <v>49</v>
      </c>
      <c r="O51" s="43" t="s">
        <v>191</v>
      </c>
      <c r="P51" s="79">
        <v>62.990896999999997</v>
      </c>
      <c r="R51" s="145">
        <v>0.10639999999999999</v>
      </c>
      <c r="S51" s="145" t="s">
        <v>49</v>
      </c>
      <c r="T51" s="67">
        <f t="shared" si="8"/>
        <v>0</v>
      </c>
      <c r="U51" s="82">
        <v>0</v>
      </c>
      <c r="V51" s="82">
        <v>0</v>
      </c>
      <c r="W51" s="50">
        <f t="shared" si="9"/>
        <v>0</v>
      </c>
      <c r="X51" s="145" t="s">
        <v>49</v>
      </c>
      <c r="Z51" s="50"/>
      <c r="AA51" s="43" t="s">
        <v>253</v>
      </c>
      <c r="AC51" s="43" t="s">
        <v>89</v>
      </c>
      <c r="AD51" s="43" t="s">
        <v>60</v>
      </c>
      <c r="AE51" s="43" t="s">
        <v>60</v>
      </c>
      <c r="AF51" s="43" t="s">
        <v>568</v>
      </c>
    </row>
    <row r="52" spans="2:32" x14ac:dyDescent="0.3">
      <c r="B52" s="4">
        <v>48</v>
      </c>
      <c r="C52" s="43" t="s">
        <v>258</v>
      </c>
      <c r="D52" s="43" t="s">
        <v>259</v>
      </c>
      <c r="E52" s="43" t="s">
        <v>39</v>
      </c>
      <c r="F52" s="43" t="s">
        <v>260</v>
      </c>
      <c r="G52" s="134">
        <v>42292</v>
      </c>
      <c r="H52" s="43" t="s">
        <v>32</v>
      </c>
      <c r="I52" s="43" t="s">
        <v>49</v>
      </c>
      <c r="J52" s="142" t="s">
        <v>49</v>
      </c>
      <c r="K52" s="142">
        <v>160.89907600000001</v>
      </c>
      <c r="L52" s="143">
        <f>K52</f>
        <v>160.89907600000001</v>
      </c>
      <c r="M52" s="144">
        <v>1</v>
      </c>
      <c r="N52" s="143">
        <f>L52*(1-M52)</f>
        <v>0</v>
      </c>
      <c r="O52" s="43" t="s">
        <v>48</v>
      </c>
      <c r="P52" s="79">
        <v>2.5</v>
      </c>
      <c r="Q52" s="51">
        <f t="shared" ref="Q52:Q53" si="13">P52</f>
        <v>2.5</v>
      </c>
      <c r="R52" s="145" t="s">
        <v>49</v>
      </c>
      <c r="S52" s="145" t="s">
        <v>49</v>
      </c>
      <c r="T52" s="67">
        <f t="shared" si="8"/>
        <v>0</v>
      </c>
      <c r="U52" s="82">
        <v>0</v>
      </c>
      <c r="V52" s="82">
        <v>0</v>
      </c>
      <c r="W52" s="50">
        <f t="shared" si="9"/>
        <v>0</v>
      </c>
      <c r="X52" s="145" t="s">
        <v>49</v>
      </c>
      <c r="Z52" s="50"/>
      <c r="AA52" s="43" t="s">
        <v>49</v>
      </c>
      <c r="AD52" s="43" t="s">
        <v>107</v>
      </c>
      <c r="AE52" s="43" t="s">
        <v>107</v>
      </c>
      <c r="AF52" s="43" t="s">
        <v>552</v>
      </c>
    </row>
    <row r="53" spans="2:32" x14ac:dyDescent="0.3">
      <c r="B53" s="4">
        <v>49</v>
      </c>
      <c r="C53" s="43" t="s">
        <v>261</v>
      </c>
      <c r="D53" s="43" t="s">
        <v>262</v>
      </c>
      <c r="E53" s="43" t="s">
        <v>30</v>
      </c>
      <c r="F53" s="43" t="s">
        <v>31</v>
      </c>
      <c r="G53" s="134">
        <v>42202</v>
      </c>
      <c r="H53" s="43" t="s">
        <v>32</v>
      </c>
      <c r="I53" s="43" t="s">
        <v>49</v>
      </c>
      <c r="J53" s="142">
        <v>162.59923549999999</v>
      </c>
      <c r="K53" s="142" t="s">
        <v>612</v>
      </c>
      <c r="L53" s="143" t="s">
        <v>49</v>
      </c>
      <c r="M53" s="146">
        <v>0</v>
      </c>
      <c r="N53" s="143" t="s">
        <v>49</v>
      </c>
      <c r="O53" s="43" t="s">
        <v>191</v>
      </c>
      <c r="P53" s="79">
        <v>27.198066000000001</v>
      </c>
      <c r="Q53" s="51">
        <f t="shared" si="13"/>
        <v>27.198066000000001</v>
      </c>
      <c r="R53" s="145">
        <v>0.133164305484367</v>
      </c>
      <c r="S53" s="145" t="s">
        <v>49</v>
      </c>
      <c r="T53" s="67">
        <f t="shared" si="8"/>
        <v>0</v>
      </c>
      <c r="U53" s="82">
        <v>0</v>
      </c>
      <c r="V53" s="82">
        <v>0</v>
      </c>
      <c r="W53" s="50">
        <f t="shared" si="9"/>
        <v>0</v>
      </c>
      <c r="X53" s="145" t="s">
        <v>49</v>
      </c>
      <c r="Z53" s="50">
        <f>W53</f>
        <v>0</v>
      </c>
      <c r="AA53" s="43" t="s">
        <v>49</v>
      </c>
      <c r="AD53" s="43" t="s">
        <v>36</v>
      </c>
      <c r="AE53" s="43" t="s">
        <v>36</v>
      </c>
      <c r="AF53" s="43" t="s">
        <v>552</v>
      </c>
    </row>
    <row r="54" spans="2:32" x14ac:dyDescent="0.3">
      <c r="B54" s="44"/>
      <c r="C54" s="44" t="s">
        <v>263</v>
      </c>
      <c r="D54" s="44"/>
      <c r="E54" s="44"/>
      <c r="F54" s="44"/>
      <c r="G54" s="44"/>
      <c r="H54" s="44"/>
      <c r="I54" s="44"/>
      <c r="J54" s="44"/>
      <c r="K54" s="44"/>
      <c r="L54" s="44"/>
      <c r="M54" s="44"/>
      <c r="N54" s="44"/>
      <c r="O54" s="44"/>
      <c r="P54" s="148">
        <f>SUM(P4:P53)</f>
        <v>3654.9828587331895</v>
      </c>
      <c r="Q54" s="148">
        <f>SUM(Q4:Q53)</f>
        <v>1963.0003015760815</v>
      </c>
      <c r="R54" s="44"/>
      <c r="S54" s="44"/>
      <c r="T54" s="55">
        <f t="shared" si="8"/>
        <v>13164.788943828913</v>
      </c>
      <c r="U54" s="55">
        <f>SUM(U4:U53)</f>
        <v>7755.6882496594162</v>
      </c>
      <c r="V54" s="55">
        <f>SUM(V4:V53)</f>
        <v>5409.1006941694977</v>
      </c>
      <c r="W54" s="55">
        <f t="shared" si="9"/>
        <v>3.6018743322894284</v>
      </c>
      <c r="X54" s="45">
        <v>0.20607448220252991</v>
      </c>
      <c r="Y54" s="44"/>
      <c r="Z54" s="44"/>
      <c r="AA54" s="141"/>
      <c r="AB54" s="44"/>
      <c r="AC54" s="44"/>
      <c r="AD54" s="44"/>
      <c r="AE54" s="44"/>
      <c r="AF54" s="44"/>
    </row>
    <row r="55" spans="2:32" x14ac:dyDescent="0.3">
      <c r="C55" s="149"/>
      <c r="D55" s="149"/>
      <c r="E55" s="150"/>
      <c r="F55" s="151"/>
      <c r="G55" s="151"/>
      <c r="H55" s="151"/>
      <c r="I55" s="151"/>
      <c r="J55" s="151"/>
      <c r="K55" s="151"/>
      <c r="L55" s="151"/>
      <c r="M55" s="151"/>
      <c r="N55" s="151"/>
      <c r="O55" s="151"/>
      <c r="P55" s="152"/>
      <c r="Q55" s="152"/>
      <c r="R55" s="151"/>
      <c r="S55" s="151"/>
      <c r="T55" s="153"/>
      <c r="U55" s="153"/>
      <c r="V55" s="161"/>
      <c r="W55" s="151"/>
      <c r="X55" s="151"/>
      <c r="Y55" s="151"/>
      <c r="Z55" s="151"/>
      <c r="AA55" s="151"/>
      <c r="AB55" s="151"/>
      <c r="AC55" s="151"/>
      <c r="AD55" s="151"/>
      <c r="AE55" s="151"/>
    </row>
    <row r="56" spans="2:32" x14ac:dyDescent="0.3">
      <c r="C56" s="43" t="s">
        <v>264</v>
      </c>
      <c r="F56" s="8"/>
      <c r="G56" s="4"/>
      <c r="J56" s="4"/>
      <c r="K56" s="4"/>
      <c r="L56" s="4"/>
      <c r="M56" s="4"/>
      <c r="N56" s="4"/>
      <c r="O56" s="4"/>
      <c r="P56" s="62"/>
      <c r="Q56" s="62"/>
      <c r="R56" s="4"/>
      <c r="S56" s="4"/>
      <c r="T56" s="154"/>
      <c r="U56" s="154"/>
      <c r="V56" s="154"/>
      <c r="W56" s="4"/>
      <c r="X56" s="4"/>
      <c r="Y56" s="4"/>
      <c r="Z56" s="4"/>
      <c r="AA56" s="18"/>
      <c r="AB56" s="4"/>
      <c r="AC56" s="4"/>
      <c r="AD56" s="4"/>
      <c r="AE5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7071B-9780-40E4-BBF9-F241620EBF6F}">
  <dimension ref="B1:AF36"/>
  <sheetViews>
    <sheetView showGridLines="0" zoomScaleNormal="100" workbookViewId="0">
      <pane xSplit="4" ySplit="3" topLeftCell="S24" activePane="bottomRight" state="frozen"/>
      <selection activeCell="T12" sqref="B1:AI56"/>
      <selection pane="topRight" activeCell="T12" sqref="B1:AI56"/>
      <selection pane="bottomLeft" activeCell="T12" sqref="B1:AI56"/>
      <selection pane="bottomRight" activeCell="U44" sqref="U44"/>
    </sheetView>
  </sheetViews>
  <sheetFormatPr defaultColWidth="8.6328125" defaultRowHeight="13" x14ac:dyDescent="0.3"/>
  <cols>
    <col min="1" max="1" width="4.08984375" style="43" customWidth="1"/>
    <col min="2" max="2" width="8.6328125" style="43"/>
    <col min="3" max="3" width="38.36328125" style="43" customWidth="1"/>
    <col min="4" max="4" width="21.90625" style="43" customWidth="1"/>
    <col min="5" max="5" width="14.6328125" style="43" customWidth="1"/>
    <col min="6" max="6" width="22.36328125" style="43" bestFit="1" customWidth="1"/>
    <col min="7" max="7" width="14.6328125" style="43" customWidth="1"/>
    <col min="8" max="8" width="16.90625" style="43" customWidth="1"/>
    <col min="9" max="9" width="16.6328125" style="43" customWidth="1"/>
    <col min="10" max="10" width="15" style="43" bestFit="1" customWidth="1"/>
    <col min="11" max="12" width="18.36328125" style="43" bestFit="1" customWidth="1"/>
    <col min="13" max="13" width="16" style="43" bestFit="1" customWidth="1"/>
    <col min="14" max="14" width="15.6328125" style="43" bestFit="1" customWidth="1"/>
    <col min="15" max="15" width="16.6328125" style="43" customWidth="1"/>
    <col min="16" max="24" width="18.6328125" style="43" customWidth="1"/>
    <col min="25" max="25" width="11.54296875" style="43" customWidth="1"/>
    <col min="26" max="26" width="9.453125" style="43" customWidth="1"/>
    <col min="27" max="27" width="38.54296875" style="43" customWidth="1"/>
    <col min="28" max="28" width="55.453125" style="43" customWidth="1"/>
    <col min="29" max="29" width="46.6328125" style="43" bestFit="1" customWidth="1"/>
    <col min="30" max="30" width="17.453125" style="43" bestFit="1" customWidth="1"/>
    <col min="31" max="31" width="12" style="43" customWidth="1"/>
    <col min="32" max="32" width="11.08984375" style="43" customWidth="1"/>
    <col min="33" max="16384" width="8.6328125" style="43"/>
  </cols>
  <sheetData>
    <row r="1" spans="2:32" x14ac:dyDescent="0.3">
      <c r="P1" s="127"/>
      <c r="Q1" s="127"/>
      <c r="T1" s="127"/>
      <c r="U1" s="127"/>
      <c r="V1" s="127"/>
      <c r="X1" s="128"/>
    </row>
    <row r="2" spans="2:32" ht="39" x14ac:dyDescent="0.3">
      <c r="B2" s="40" t="s">
        <v>0</v>
      </c>
      <c r="C2" s="40" t="s">
        <v>1</v>
      </c>
      <c r="D2" s="40" t="s">
        <v>2</v>
      </c>
      <c r="E2" s="40" t="s">
        <v>3</v>
      </c>
      <c r="F2" s="40" t="s">
        <v>4</v>
      </c>
      <c r="G2" s="40" t="s">
        <v>5</v>
      </c>
      <c r="H2" s="40" t="s">
        <v>6</v>
      </c>
      <c r="I2" s="40" t="s">
        <v>7</v>
      </c>
      <c r="J2" s="40" t="s">
        <v>8</v>
      </c>
      <c r="K2" s="40" t="s">
        <v>9</v>
      </c>
      <c r="L2" s="41" t="s">
        <v>10</v>
      </c>
      <c r="M2" s="41" t="s">
        <v>11</v>
      </c>
      <c r="N2" s="41" t="s">
        <v>12</v>
      </c>
      <c r="O2" s="40" t="s">
        <v>13</v>
      </c>
      <c r="P2" s="40" t="s">
        <v>14</v>
      </c>
      <c r="Q2" s="40" t="s">
        <v>15</v>
      </c>
      <c r="R2" s="41" t="s">
        <v>621</v>
      </c>
      <c r="S2" s="41" t="s">
        <v>622</v>
      </c>
      <c r="T2" s="40" t="s">
        <v>16</v>
      </c>
      <c r="U2" s="40" t="s">
        <v>17</v>
      </c>
      <c r="V2" s="40" t="s">
        <v>18</v>
      </c>
      <c r="W2" s="40" t="s">
        <v>19</v>
      </c>
      <c r="X2" s="41" t="s">
        <v>1130</v>
      </c>
      <c r="Y2" s="41" t="s">
        <v>20</v>
      </c>
      <c r="Z2" s="41" t="s">
        <v>21</v>
      </c>
      <c r="AA2" s="40" t="s">
        <v>22</v>
      </c>
      <c r="AB2" s="40" t="s">
        <v>955</v>
      </c>
      <c r="AC2" s="40" t="s">
        <v>23</v>
      </c>
      <c r="AD2" s="40" t="s">
        <v>24</v>
      </c>
      <c r="AE2" s="40" t="s">
        <v>25</v>
      </c>
      <c r="AF2" s="40" t="s">
        <v>265</v>
      </c>
    </row>
    <row r="3" spans="2:32" x14ac:dyDescent="0.3">
      <c r="B3" s="44"/>
      <c r="C3" s="44"/>
      <c r="D3" s="44"/>
      <c r="E3" s="44"/>
      <c r="F3" s="44"/>
      <c r="G3" s="44" t="s">
        <v>26</v>
      </c>
      <c r="H3" s="44"/>
      <c r="I3" s="44"/>
      <c r="J3" s="44" t="s">
        <v>1129</v>
      </c>
      <c r="K3" s="44" t="s">
        <v>1129</v>
      </c>
      <c r="L3" s="44" t="s">
        <v>1129</v>
      </c>
      <c r="M3" s="44"/>
      <c r="N3" s="44" t="s">
        <v>1129</v>
      </c>
      <c r="O3" s="44"/>
      <c r="P3" s="44" t="s">
        <v>1129</v>
      </c>
      <c r="Q3" s="44" t="s">
        <v>1129</v>
      </c>
      <c r="R3" s="44" t="s">
        <v>27</v>
      </c>
      <c r="S3" s="44" t="s">
        <v>27</v>
      </c>
      <c r="T3" s="44" t="s">
        <v>1129</v>
      </c>
      <c r="U3" s="44" t="s">
        <v>1129</v>
      </c>
      <c r="V3" s="44" t="s">
        <v>1129</v>
      </c>
      <c r="W3" s="44" t="s">
        <v>268</v>
      </c>
      <c r="X3" s="44" t="s">
        <v>27</v>
      </c>
      <c r="Y3" s="44"/>
      <c r="Z3" s="44"/>
      <c r="AA3" s="44"/>
      <c r="AB3" s="44"/>
      <c r="AC3" s="44"/>
      <c r="AD3" s="44"/>
      <c r="AE3" s="44"/>
      <c r="AF3" s="44"/>
    </row>
    <row r="4" spans="2:32" x14ac:dyDescent="0.3">
      <c r="B4" s="4">
        <f>B3+1</f>
        <v>1</v>
      </c>
      <c r="C4" s="75" t="s">
        <v>444</v>
      </c>
      <c r="D4" s="75" t="s">
        <v>445</v>
      </c>
      <c r="E4" s="43" t="s">
        <v>279</v>
      </c>
      <c r="F4" s="43" t="s">
        <v>446</v>
      </c>
      <c r="G4" s="129">
        <v>43626</v>
      </c>
      <c r="H4" s="43" t="s">
        <v>32</v>
      </c>
      <c r="I4" s="43" t="s">
        <v>65</v>
      </c>
      <c r="J4" s="130">
        <v>280.540368</v>
      </c>
      <c r="K4" s="130">
        <v>5853.9280319999998</v>
      </c>
      <c r="L4" s="130">
        <f>K4</f>
        <v>5853.9280319999998</v>
      </c>
      <c r="M4" s="131">
        <v>0</v>
      </c>
      <c r="N4" s="130">
        <f>L4*(1-M4)</f>
        <v>5853.9280319999998</v>
      </c>
      <c r="O4" s="43" t="s">
        <v>1104</v>
      </c>
      <c r="P4" s="80">
        <v>187.73201190000003</v>
      </c>
      <c r="Q4" s="51">
        <f>P4</f>
        <v>187.73201190000003</v>
      </c>
      <c r="R4" s="6">
        <v>0.20141411520498184</v>
      </c>
      <c r="S4" s="6">
        <v>0.19719999999999999</v>
      </c>
      <c r="T4" s="51">
        <f>U4+V4</f>
        <v>1154.2839300000001</v>
      </c>
      <c r="U4" s="79">
        <v>1154.2839300000001</v>
      </c>
      <c r="V4" s="79">
        <v>0</v>
      </c>
      <c r="W4" s="7">
        <f>T4/P4</f>
        <v>6.1485727357721878</v>
      </c>
      <c r="X4" s="132">
        <v>0.40763497948646554</v>
      </c>
      <c r="Y4" s="4"/>
      <c r="AA4" s="43" t="s">
        <v>447</v>
      </c>
      <c r="AB4" s="43" t="s">
        <v>448</v>
      </c>
      <c r="AC4" s="43" t="s">
        <v>449</v>
      </c>
      <c r="AD4" s="43" t="s">
        <v>36</v>
      </c>
      <c r="AE4" s="43" t="s">
        <v>36</v>
      </c>
      <c r="AF4" s="43" t="s">
        <v>275</v>
      </c>
    </row>
    <row r="5" spans="2:32" x14ac:dyDescent="0.3">
      <c r="B5" s="4">
        <v>2</v>
      </c>
      <c r="C5" s="75" t="s">
        <v>450</v>
      </c>
      <c r="D5" s="75" t="s">
        <v>451</v>
      </c>
      <c r="E5" s="43" t="s">
        <v>279</v>
      </c>
      <c r="F5" s="43" t="s">
        <v>31</v>
      </c>
      <c r="G5" s="129">
        <v>43745</v>
      </c>
      <c r="H5" s="43" t="s">
        <v>32</v>
      </c>
      <c r="I5" s="43" t="s">
        <v>41</v>
      </c>
      <c r="J5" s="130">
        <v>850.04052657559987</v>
      </c>
      <c r="K5" s="130">
        <v>51752.012658419997</v>
      </c>
      <c r="L5" s="130">
        <f>K5</f>
        <v>51752.012658419997</v>
      </c>
      <c r="M5" s="81">
        <v>0.5</v>
      </c>
      <c r="N5" s="130">
        <f t="shared" ref="N5:N31" si="0">L5*(1-M5)</f>
        <v>25876.006329209999</v>
      </c>
      <c r="O5" s="43" t="s">
        <v>1105</v>
      </c>
      <c r="P5" s="80">
        <v>704.7135789762001</v>
      </c>
      <c r="Q5" s="51">
        <f t="shared" ref="Q5:Q31" si="1">P5</f>
        <v>704.7135789762001</v>
      </c>
      <c r="R5" s="6">
        <v>0.1000198108067951</v>
      </c>
      <c r="S5" s="6">
        <v>0.1013</v>
      </c>
      <c r="T5" s="51">
        <f t="shared" ref="T5:T32" si="2">U5+V5</f>
        <v>2379.3363802118884</v>
      </c>
      <c r="U5" s="79">
        <v>2379.3363802118884</v>
      </c>
      <c r="V5" s="79">
        <v>0</v>
      </c>
      <c r="W5" s="7">
        <f t="shared" ref="W5:W32" si="3">T5/P5</f>
        <v>3.376316919660554</v>
      </c>
      <c r="X5" s="132">
        <v>0.26676530241966256</v>
      </c>
      <c r="Y5" s="4"/>
      <c r="AA5" s="43" t="s">
        <v>452</v>
      </c>
      <c r="AB5" s="43" t="s">
        <v>453</v>
      </c>
      <c r="AC5" s="43" t="s">
        <v>454</v>
      </c>
      <c r="AD5" s="43" t="s">
        <v>36</v>
      </c>
      <c r="AE5" s="43" t="s">
        <v>145</v>
      </c>
      <c r="AF5" s="43" t="s">
        <v>275</v>
      </c>
    </row>
    <row r="6" spans="2:32" x14ac:dyDescent="0.3">
      <c r="B6" s="4">
        <v>3</v>
      </c>
      <c r="C6" s="75" t="s">
        <v>455</v>
      </c>
      <c r="D6" s="75" t="s">
        <v>456</v>
      </c>
      <c r="E6" s="43" t="s">
        <v>30</v>
      </c>
      <c r="F6" s="43" t="s">
        <v>127</v>
      </c>
      <c r="G6" s="129">
        <v>43804</v>
      </c>
      <c r="H6" s="43" t="s">
        <v>32</v>
      </c>
      <c r="I6" s="43" t="s">
        <v>49</v>
      </c>
      <c r="J6" s="130">
        <v>240.02</v>
      </c>
      <c r="K6" s="130" t="s">
        <v>49</v>
      </c>
      <c r="L6" s="130">
        <v>0</v>
      </c>
      <c r="M6" s="131">
        <v>0</v>
      </c>
      <c r="N6" s="130">
        <f t="shared" si="0"/>
        <v>0</v>
      </c>
      <c r="O6" s="43" t="s">
        <v>97</v>
      </c>
      <c r="P6" s="80">
        <v>40.019999999999996</v>
      </c>
      <c r="Q6" s="51">
        <v>0</v>
      </c>
      <c r="R6" s="6">
        <v>0.16673610532455629</v>
      </c>
      <c r="S6" s="6" t="s">
        <v>49</v>
      </c>
      <c r="T6" s="51">
        <f t="shared" si="2"/>
        <v>90</v>
      </c>
      <c r="U6" s="79">
        <v>0</v>
      </c>
      <c r="V6" s="79">
        <v>90</v>
      </c>
      <c r="W6" s="7">
        <f t="shared" si="3"/>
        <v>2.248875562218891</v>
      </c>
      <c r="X6" s="132">
        <v>7.5339241504669179</v>
      </c>
      <c r="Y6" s="86" t="s">
        <v>457</v>
      </c>
      <c r="Z6" s="116">
        <f>W6</f>
        <v>2.248875562218891</v>
      </c>
      <c r="AA6" s="43" t="s">
        <v>458</v>
      </c>
      <c r="AB6" s="43" t="s">
        <v>459</v>
      </c>
      <c r="AC6" s="43" t="s">
        <v>460</v>
      </c>
      <c r="AD6" s="43" t="s">
        <v>145</v>
      </c>
      <c r="AE6" s="43" t="s">
        <v>145</v>
      </c>
      <c r="AF6" s="43" t="s">
        <v>461</v>
      </c>
    </row>
    <row r="7" spans="2:32" x14ac:dyDescent="0.3">
      <c r="B7" s="4">
        <v>4</v>
      </c>
      <c r="C7" s="75" t="s">
        <v>462</v>
      </c>
      <c r="D7" s="75" t="s">
        <v>463</v>
      </c>
      <c r="E7" s="43" t="s">
        <v>81</v>
      </c>
      <c r="F7" s="43" t="s">
        <v>154</v>
      </c>
      <c r="G7" s="129">
        <v>43536</v>
      </c>
      <c r="H7" s="43" t="s">
        <v>32</v>
      </c>
      <c r="I7" s="43" t="s">
        <v>997</v>
      </c>
      <c r="J7" s="130">
        <v>115.02136400000001</v>
      </c>
      <c r="K7" s="130">
        <v>15109.619221999999</v>
      </c>
      <c r="L7" s="130">
        <v>5628.9897300000002</v>
      </c>
      <c r="M7" s="81">
        <v>0.5</v>
      </c>
      <c r="N7" s="130">
        <f t="shared" si="0"/>
        <v>2814.4948650000001</v>
      </c>
      <c r="O7" s="43" t="s">
        <v>1106</v>
      </c>
      <c r="P7" s="80">
        <v>525.50478672000008</v>
      </c>
      <c r="Q7" s="51">
        <f t="shared" si="1"/>
        <v>525.50478672000008</v>
      </c>
      <c r="R7" s="6">
        <v>0.1285628787312037</v>
      </c>
      <c r="S7" s="6">
        <v>0.17640433367897879</v>
      </c>
      <c r="T7" s="51">
        <f t="shared" si="2"/>
        <v>568.28986499999996</v>
      </c>
      <c r="U7" s="79">
        <v>568.28986499999996</v>
      </c>
      <c r="V7" s="79">
        <v>0</v>
      </c>
      <c r="W7" s="12">
        <f t="shared" si="3"/>
        <v>1.0814171047747214</v>
      </c>
      <c r="X7" s="132">
        <v>1.7709848284721375E-2</v>
      </c>
      <c r="Y7" s="4"/>
      <c r="AA7" s="43" t="s">
        <v>464</v>
      </c>
      <c r="AB7" s="43" t="s">
        <v>465</v>
      </c>
      <c r="AC7" s="43" t="s">
        <v>35</v>
      </c>
      <c r="AD7" s="43" t="s">
        <v>107</v>
      </c>
      <c r="AE7" s="43" t="s">
        <v>60</v>
      </c>
      <c r="AF7" s="43" t="s">
        <v>275</v>
      </c>
    </row>
    <row r="8" spans="2:32" x14ac:dyDescent="0.3">
      <c r="B8" s="4">
        <v>5</v>
      </c>
      <c r="C8" s="75" t="s">
        <v>466</v>
      </c>
      <c r="D8" s="75" t="s">
        <v>1097</v>
      </c>
      <c r="E8" s="43" t="s">
        <v>467</v>
      </c>
      <c r="F8" s="43" t="s">
        <v>127</v>
      </c>
      <c r="G8" s="129">
        <v>43826</v>
      </c>
      <c r="H8" s="43" t="s">
        <v>32</v>
      </c>
      <c r="I8" s="43" t="s">
        <v>82</v>
      </c>
      <c r="J8" s="130">
        <v>8617.7893999999997</v>
      </c>
      <c r="K8" s="130">
        <v>32536.815999999999</v>
      </c>
      <c r="L8" s="130">
        <f>K8</f>
        <v>32536.815999999999</v>
      </c>
      <c r="M8" s="133">
        <v>0.2</v>
      </c>
      <c r="N8" s="130">
        <f t="shared" si="0"/>
        <v>26029.452799999999</v>
      </c>
      <c r="O8" s="43" t="s">
        <v>973</v>
      </c>
      <c r="P8" s="80">
        <v>372.27805139000003</v>
      </c>
      <c r="Q8" s="51">
        <f t="shared" si="1"/>
        <v>372.27805139000003</v>
      </c>
      <c r="R8" s="6">
        <v>0.17227235438884331</v>
      </c>
      <c r="S8" s="6">
        <v>0.1169</v>
      </c>
      <c r="T8" s="51">
        <f t="shared" si="2"/>
        <v>2901.0013275593565</v>
      </c>
      <c r="U8" s="79">
        <v>2901.0013275593565</v>
      </c>
      <c r="V8" s="79">
        <v>0</v>
      </c>
      <c r="W8" s="7">
        <f t="shared" si="3"/>
        <v>7.792566112151091</v>
      </c>
      <c r="X8" s="132">
        <v>0.54107288718223601</v>
      </c>
      <c r="Y8" s="4"/>
      <c r="AA8" s="43" t="s">
        <v>468</v>
      </c>
      <c r="AB8" s="43" t="s">
        <v>972</v>
      </c>
      <c r="AC8" s="43" t="s">
        <v>469</v>
      </c>
      <c r="AD8" s="43" t="s">
        <v>69</v>
      </c>
      <c r="AE8" s="43" t="s">
        <v>69</v>
      </c>
      <c r="AF8" s="43" t="s">
        <v>275</v>
      </c>
    </row>
    <row r="9" spans="2:32" x14ac:dyDescent="0.3">
      <c r="B9" s="4">
        <v>6</v>
      </c>
      <c r="C9" s="75" t="s">
        <v>470</v>
      </c>
      <c r="D9" s="75" t="s">
        <v>471</v>
      </c>
      <c r="E9" s="43" t="s">
        <v>472</v>
      </c>
      <c r="F9" s="43" t="s">
        <v>127</v>
      </c>
      <c r="G9" s="129">
        <v>43497</v>
      </c>
      <c r="H9" s="43" t="s">
        <v>473</v>
      </c>
      <c r="I9" s="86" t="s">
        <v>49</v>
      </c>
      <c r="J9" s="130">
        <v>602.16780581541082</v>
      </c>
      <c r="K9" s="130" t="s">
        <v>49</v>
      </c>
      <c r="L9" s="130">
        <v>0</v>
      </c>
      <c r="M9" s="131">
        <v>0</v>
      </c>
      <c r="N9" s="130">
        <f t="shared" si="0"/>
        <v>0</v>
      </c>
      <c r="O9" s="43" t="s">
        <v>97</v>
      </c>
      <c r="P9" s="80">
        <v>161.16059145999998</v>
      </c>
      <c r="Q9" s="51">
        <v>0</v>
      </c>
      <c r="R9" s="6">
        <v>0.17431732277899947</v>
      </c>
      <c r="S9" s="6" t="s">
        <v>49</v>
      </c>
      <c r="T9" s="51">
        <f t="shared" si="2"/>
        <v>644.42631800000004</v>
      </c>
      <c r="U9" s="79">
        <v>0</v>
      </c>
      <c r="V9" s="79">
        <v>644.42631800000004</v>
      </c>
      <c r="W9" s="7">
        <f t="shared" si="3"/>
        <v>3.9986594251234582</v>
      </c>
      <c r="X9" s="132">
        <v>0.91397627592086805</v>
      </c>
      <c r="Y9" s="86" t="s">
        <v>474</v>
      </c>
      <c r="Z9" s="116">
        <f>W9</f>
        <v>3.9986594251234582</v>
      </c>
      <c r="AA9" s="43" t="s">
        <v>475</v>
      </c>
      <c r="AB9" s="43" t="s">
        <v>476</v>
      </c>
      <c r="AC9" s="43" t="s">
        <v>477</v>
      </c>
      <c r="AD9" s="43" t="s">
        <v>69</v>
      </c>
      <c r="AE9" s="43" t="s">
        <v>69</v>
      </c>
      <c r="AF9" s="43" t="s">
        <v>461</v>
      </c>
    </row>
    <row r="10" spans="2:32" x14ac:dyDescent="0.3">
      <c r="B10" s="18">
        <f t="shared" ref="B10:B15" si="4">IF(C10="","",B9+1)</f>
        <v>7</v>
      </c>
      <c r="C10" s="75" t="s">
        <v>308</v>
      </c>
      <c r="D10" s="75" t="s">
        <v>309</v>
      </c>
      <c r="E10" s="43" t="s">
        <v>279</v>
      </c>
      <c r="F10" s="43" t="s">
        <v>310</v>
      </c>
      <c r="G10" s="129">
        <v>43523</v>
      </c>
      <c r="H10" s="43" t="s">
        <v>32</v>
      </c>
      <c r="I10" s="43" t="s">
        <v>418</v>
      </c>
      <c r="J10" s="130">
        <v>485.53368</v>
      </c>
      <c r="K10" s="130">
        <v>14380.000000000002</v>
      </c>
      <c r="L10" s="130">
        <f>K10</f>
        <v>14380.000000000002</v>
      </c>
      <c r="M10" s="131">
        <v>0</v>
      </c>
      <c r="N10" s="130">
        <f t="shared" si="0"/>
        <v>14380.000000000002</v>
      </c>
      <c r="O10" s="43" t="s">
        <v>998</v>
      </c>
      <c r="P10" s="80">
        <v>455.09861612000003</v>
      </c>
      <c r="Q10" s="51">
        <f t="shared" si="1"/>
        <v>455.09861612000003</v>
      </c>
      <c r="R10" s="6">
        <v>0.19772280266942552</v>
      </c>
      <c r="S10" s="6">
        <v>3.9622091728122762E-2</v>
      </c>
      <c r="T10" s="51">
        <f t="shared" si="2"/>
        <v>592.55571819293186</v>
      </c>
      <c r="U10" s="79">
        <v>592.55571819293186</v>
      </c>
      <c r="V10" s="79">
        <v>0</v>
      </c>
      <c r="W10" s="7">
        <f t="shared" si="3"/>
        <v>1.3020380576958011</v>
      </c>
      <c r="X10" s="132">
        <v>5.8552715182304385E-2</v>
      </c>
      <c r="Y10" s="4"/>
      <c r="AA10" s="43" t="s">
        <v>312</v>
      </c>
      <c r="AB10" s="43" t="s">
        <v>1020</v>
      </c>
      <c r="AC10" s="43" t="s">
        <v>314</v>
      </c>
      <c r="AD10" s="43" t="s">
        <v>43</v>
      </c>
      <c r="AE10" s="43" t="s">
        <v>43</v>
      </c>
      <c r="AF10" s="43" t="s">
        <v>275</v>
      </c>
    </row>
    <row r="11" spans="2:32" x14ac:dyDescent="0.3">
      <c r="B11" s="18">
        <f t="shared" si="4"/>
        <v>8</v>
      </c>
      <c r="C11" s="8" t="s">
        <v>478</v>
      </c>
      <c r="D11" s="8" t="s">
        <v>479</v>
      </c>
      <c r="E11" s="43" t="s">
        <v>279</v>
      </c>
      <c r="F11" s="86" t="s">
        <v>31</v>
      </c>
      <c r="G11" s="129">
        <v>44105</v>
      </c>
      <c r="H11" s="43" t="s">
        <v>32</v>
      </c>
      <c r="I11" s="43" t="s">
        <v>435</v>
      </c>
      <c r="J11" s="130">
        <v>700.35523999999998</v>
      </c>
      <c r="K11" s="130">
        <v>3140.2156755299998</v>
      </c>
      <c r="L11" s="130">
        <v>0</v>
      </c>
      <c r="M11" s="131">
        <v>0</v>
      </c>
      <c r="N11" s="130">
        <f t="shared" ref="N11" si="5">L11*(1-M11)</f>
        <v>0</v>
      </c>
      <c r="O11" s="43" t="s">
        <v>104</v>
      </c>
      <c r="P11" s="80">
        <v>294.79389230999999</v>
      </c>
      <c r="Q11" s="51">
        <f t="shared" si="1"/>
        <v>294.79389230999999</v>
      </c>
      <c r="R11" s="6">
        <v>0.14285914604220712</v>
      </c>
      <c r="S11" s="6">
        <v>0.13300000000000001</v>
      </c>
      <c r="T11" s="51">
        <f t="shared" si="2"/>
        <v>294.79389230999999</v>
      </c>
      <c r="U11" s="79">
        <v>294.79389230999999</v>
      </c>
      <c r="V11" s="79">
        <v>0</v>
      </c>
      <c r="W11" s="7">
        <f t="shared" si="3"/>
        <v>1</v>
      </c>
      <c r="X11" s="132">
        <v>-7.4505805969238285E-10</v>
      </c>
      <c r="Y11" s="4"/>
      <c r="AA11" s="43" t="s">
        <v>480</v>
      </c>
      <c r="AB11" s="8" t="s">
        <v>1025</v>
      </c>
      <c r="AC11" s="43" t="s">
        <v>303</v>
      </c>
      <c r="AD11" s="43" t="s">
        <v>36</v>
      </c>
      <c r="AE11" s="43" t="s">
        <v>145</v>
      </c>
      <c r="AF11" s="43" t="s">
        <v>275</v>
      </c>
    </row>
    <row r="12" spans="2:32" x14ac:dyDescent="0.3">
      <c r="B12" s="18">
        <f t="shared" si="4"/>
        <v>9</v>
      </c>
      <c r="C12" s="75" t="s">
        <v>304</v>
      </c>
      <c r="D12" s="75" t="s">
        <v>305</v>
      </c>
      <c r="E12" s="43" t="s">
        <v>30</v>
      </c>
      <c r="F12" s="43" t="s">
        <v>127</v>
      </c>
      <c r="G12" s="129">
        <v>43859</v>
      </c>
      <c r="H12" s="43" t="s">
        <v>32</v>
      </c>
      <c r="I12" s="43" t="s">
        <v>111</v>
      </c>
      <c r="J12" s="130">
        <v>724.10523699999999</v>
      </c>
      <c r="K12" s="130">
        <v>8724.1050028399986</v>
      </c>
      <c r="L12" s="130">
        <f>K12</f>
        <v>8724.1050028399986</v>
      </c>
      <c r="M12" s="131">
        <v>0</v>
      </c>
      <c r="N12" s="130">
        <f t="shared" si="0"/>
        <v>8724.1050028399986</v>
      </c>
      <c r="O12" s="43" t="s">
        <v>1107</v>
      </c>
      <c r="P12" s="80">
        <v>183.65168119999998</v>
      </c>
      <c r="Q12" s="51">
        <f t="shared" si="1"/>
        <v>183.65168119999998</v>
      </c>
      <c r="R12" s="6">
        <v>0.18818051575931233</v>
      </c>
      <c r="S12" s="6">
        <v>0.1298</v>
      </c>
      <c r="T12" s="51">
        <f t="shared" si="2"/>
        <v>1132.2257509597123</v>
      </c>
      <c r="U12" s="79">
        <v>1132.2257509597123</v>
      </c>
      <c r="V12" s="79">
        <v>0</v>
      </c>
      <c r="W12" s="7">
        <f t="shared" si="3"/>
        <v>6.165071528676604</v>
      </c>
      <c r="X12" s="132">
        <v>0.46126249432563771</v>
      </c>
      <c r="Y12" s="4"/>
      <c r="AA12" s="43" t="s">
        <v>481</v>
      </c>
      <c r="AB12" s="43" t="s">
        <v>307</v>
      </c>
      <c r="AC12" s="43" t="s">
        <v>124</v>
      </c>
      <c r="AD12" s="43" t="s">
        <v>36</v>
      </c>
      <c r="AE12" s="43" t="s">
        <v>69</v>
      </c>
      <c r="AF12" s="43" t="s">
        <v>275</v>
      </c>
    </row>
    <row r="13" spans="2:32" x14ac:dyDescent="0.3">
      <c r="B13" s="18">
        <f t="shared" si="4"/>
        <v>10</v>
      </c>
      <c r="C13" s="8" t="s">
        <v>482</v>
      </c>
      <c r="D13" s="8" t="s">
        <v>483</v>
      </c>
      <c r="E13" s="43" t="s">
        <v>279</v>
      </c>
      <c r="F13" s="86" t="s">
        <v>31</v>
      </c>
      <c r="G13" s="129">
        <v>44238</v>
      </c>
      <c r="H13" s="43" t="s">
        <v>32</v>
      </c>
      <c r="I13" s="86" t="s">
        <v>49</v>
      </c>
      <c r="J13" s="130">
        <v>399.99999200000002</v>
      </c>
      <c r="K13" s="130" t="s">
        <v>49</v>
      </c>
      <c r="L13" s="130">
        <v>0</v>
      </c>
      <c r="M13" s="131">
        <v>0</v>
      </c>
      <c r="N13" s="130">
        <f t="shared" si="0"/>
        <v>0</v>
      </c>
      <c r="O13" s="43" t="s">
        <v>97</v>
      </c>
      <c r="P13" s="80">
        <v>79.999992000000006</v>
      </c>
      <c r="Q13" s="51">
        <v>0</v>
      </c>
      <c r="R13" s="6">
        <v>0.2</v>
      </c>
      <c r="S13" s="6" t="s">
        <v>49</v>
      </c>
      <c r="T13" s="51">
        <f t="shared" si="2"/>
        <v>319.39996805999999</v>
      </c>
      <c r="U13" s="79">
        <v>0</v>
      </c>
      <c r="V13" s="79">
        <v>319.39996805999999</v>
      </c>
      <c r="W13" s="7">
        <f t="shared" si="3"/>
        <v>3.9924999999999997</v>
      </c>
      <c r="X13" s="132">
        <v>3.0385747194290156</v>
      </c>
      <c r="Y13" s="86" t="s">
        <v>484</v>
      </c>
      <c r="Z13" s="116">
        <f>W13</f>
        <v>3.9924999999999997</v>
      </c>
      <c r="AA13" s="43" t="s">
        <v>485</v>
      </c>
      <c r="AC13" s="43" t="s">
        <v>486</v>
      </c>
      <c r="AD13" s="43" t="s">
        <v>145</v>
      </c>
      <c r="AE13" s="43" t="s">
        <v>145</v>
      </c>
      <c r="AF13" s="43" t="s">
        <v>461</v>
      </c>
    </row>
    <row r="14" spans="2:32" ht="26" x14ac:dyDescent="0.3">
      <c r="B14" s="18">
        <f t="shared" si="4"/>
        <v>11</v>
      </c>
      <c r="C14" s="8" t="s">
        <v>487</v>
      </c>
      <c r="D14" s="8" t="s">
        <v>488</v>
      </c>
      <c r="E14" s="43" t="s">
        <v>472</v>
      </c>
      <c r="F14" s="86" t="s">
        <v>55</v>
      </c>
      <c r="G14" s="129">
        <v>44138</v>
      </c>
      <c r="H14" s="43" t="s">
        <v>32</v>
      </c>
      <c r="I14" s="43" t="s">
        <v>56</v>
      </c>
      <c r="J14" s="130">
        <v>1706.3096114163736</v>
      </c>
      <c r="K14" s="130">
        <v>9196.8859000000011</v>
      </c>
      <c r="L14" s="130">
        <f>K14</f>
        <v>9196.8859000000011</v>
      </c>
      <c r="M14" s="131">
        <v>0</v>
      </c>
      <c r="N14" s="130">
        <f t="shared" si="0"/>
        <v>9196.8859000000011</v>
      </c>
      <c r="O14" s="43" t="s">
        <v>1108</v>
      </c>
      <c r="P14" s="80">
        <v>228.12928399999998</v>
      </c>
      <c r="Q14" s="51">
        <f t="shared" si="1"/>
        <v>228.12928399999998</v>
      </c>
      <c r="R14" s="6">
        <v>0.11906917362410627</v>
      </c>
      <c r="S14" s="6">
        <v>0.115</v>
      </c>
      <c r="T14" s="51">
        <f t="shared" si="2"/>
        <v>714.64229329763032</v>
      </c>
      <c r="U14" s="79">
        <v>714.64229329763032</v>
      </c>
      <c r="V14" s="79">
        <v>0</v>
      </c>
      <c r="W14" s="7">
        <f t="shared" si="3"/>
        <v>3.1326197179386686</v>
      </c>
      <c r="X14" s="132">
        <v>0.30973450541496284</v>
      </c>
      <c r="Y14" s="4"/>
      <c r="AA14" s="43" t="s">
        <v>489</v>
      </c>
      <c r="AB14" s="8" t="s">
        <v>975</v>
      </c>
      <c r="AC14" s="43" t="s">
        <v>303</v>
      </c>
      <c r="AD14" s="43" t="s">
        <v>36</v>
      </c>
      <c r="AE14" s="43" t="s">
        <v>36</v>
      </c>
      <c r="AF14" s="43" t="s">
        <v>275</v>
      </c>
    </row>
    <row r="15" spans="2:32" x14ac:dyDescent="0.3">
      <c r="B15" s="18">
        <f t="shared" si="4"/>
        <v>12</v>
      </c>
      <c r="C15" s="8" t="s">
        <v>490</v>
      </c>
      <c r="D15" s="8" t="s">
        <v>491</v>
      </c>
      <c r="E15" s="43" t="s">
        <v>30</v>
      </c>
      <c r="F15" s="86" t="s">
        <v>64</v>
      </c>
      <c r="G15" s="134">
        <v>44147</v>
      </c>
      <c r="H15" s="43" t="s">
        <v>32</v>
      </c>
      <c r="I15" s="43" t="s">
        <v>435</v>
      </c>
      <c r="J15" s="130">
        <v>964.69526399999995</v>
      </c>
      <c r="K15" s="130">
        <v>2297.3331281828468</v>
      </c>
      <c r="L15" s="130">
        <v>0</v>
      </c>
      <c r="M15" s="133">
        <v>1</v>
      </c>
      <c r="N15" s="130">
        <f t="shared" si="0"/>
        <v>0</v>
      </c>
      <c r="O15" s="43" t="s">
        <v>550</v>
      </c>
      <c r="P15" s="80">
        <v>275.24590832111153</v>
      </c>
      <c r="Q15" s="51">
        <f t="shared" si="1"/>
        <v>275.24590832111153</v>
      </c>
      <c r="R15" s="6">
        <v>0.15008639246310221</v>
      </c>
      <c r="S15" s="6">
        <v>0.14522263717732023</v>
      </c>
      <c r="T15" s="51">
        <f t="shared" si="2"/>
        <v>0</v>
      </c>
      <c r="U15" s="79">
        <v>0</v>
      </c>
      <c r="V15" s="79">
        <v>0</v>
      </c>
      <c r="W15" s="7">
        <f t="shared" si="3"/>
        <v>0</v>
      </c>
      <c r="X15" s="132" t="s">
        <v>49</v>
      </c>
      <c r="Y15" s="4"/>
      <c r="AA15" s="43" t="s">
        <v>492</v>
      </c>
      <c r="AB15" s="43" t="s">
        <v>493</v>
      </c>
      <c r="AC15" s="43" t="s">
        <v>494</v>
      </c>
      <c r="AD15" s="43" t="s">
        <v>43</v>
      </c>
      <c r="AE15" s="43" t="s">
        <v>43</v>
      </c>
      <c r="AF15" s="43" t="s">
        <v>552</v>
      </c>
    </row>
    <row r="16" spans="2:32" x14ac:dyDescent="0.3">
      <c r="B16" s="18">
        <v>13</v>
      </c>
      <c r="C16" s="75" t="s">
        <v>495</v>
      </c>
      <c r="D16" s="75" t="s">
        <v>496</v>
      </c>
      <c r="E16" s="43" t="s">
        <v>279</v>
      </c>
      <c r="F16" s="43" t="s">
        <v>31</v>
      </c>
      <c r="G16" s="129">
        <v>43455</v>
      </c>
      <c r="H16" s="43" t="s">
        <v>32</v>
      </c>
      <c r="I16" s="43" t="s">
        <v>497</v>
      </c>
      <c r="J16" s="130">
        <v>225.55533000000003</v>
      </c>
      <c r="K16" s="130">
        <v>11477.963</v>
      </c>
      <c r="L16" s="130">
        <f>K16</f>
        <v>11477.963</v>
      </c>
      <c r="M16" s="131">
        <v>0</v>
      </c>
      <c r="N16" s="130">
        <f t="shared" si="0"/>
        <v>11477.963</v>
      </c>
      <c r="O16" s="43" t="s">
        <v>1109</v>
      </c>
      <c r="P16" s="80">
        <v>400.12165099999999</v>
      </c>
      <c r="Q16" s="51">
        <f t="shared" si="1"/>
        <v>400.12165099999999</v>
      </c>
      <c r="R16" s="6">
        <v>0.15</v>
      </c>
      <c r="S16" s="6">
        <v>0.170429406353514</v>
      </c>
      <c r="T16" s="51">
        <f t="shared" si="2"/>
        <v>1955.4953</v>
      </c>
      <c r="U16" s="79">
        <v>1955.4953</v>
      </c>
      <c r="V16" s="79">
        <v>0</v>
      </c>
      <c r="W16" s="7">
        <f t="shared" si="3"/>
        <v>4.8872519022970842</v>
      </c>
      <c r="X16" s="132">
        <v>0.40223074555397031</v>
      </c>
      <c r="Y16" s="4"/>
      <c r="AA16" s="43" t="s">
        <v>498</v>
      </c>
      <c r="AB16" s="43" t="s">
        <v>499</v>
      </c>
      <c r="AC16" s="43" t="s">
        <v>500</v>
      </c>
      <c r="AD16" s="43" t="s">
        <v>36</v>
      </c>
      <c r="AE16" s="43" t="s">
        <v>145</v>
      </c>
      <c r="AF16" s="43" t="s">
        <v>275</v>
      </c>
    </row>
    <row r="17" spans="2:32" ht="26" x14ac:dyDescent="0.3">
      <c r="B17" s="18">
        <v>14</v>
      </c>
      <c r="C17" s="8" t="s">
        <v>501</v>
      </c>
      <c r="D17" s="135" t="s">
        <v>502</v>
      </c>
      <c r="E17" s="43" t="s">
        <v>279</v>
      </c>
      <c r="F17" s="86" t="s">
        <v>446</v>
      </c>
      <c r="G17" s="129">
        <v>44320</v>
      </c>
      <c r="H17" s="43" t="s">
        <v>32</v>
      </c>
      <c r="I17" s="86" t="s">
        <v>1026</v>
      </c>
      <c r="J17" s="130">
        <v>450.04786999999999</v>
      </c>
      <c r="K17" s="130">
        <v>7212.715644150001</v>
      </c>
      <c r="L17" s="130">
        <v>2659.8746092799997</v>
      </c>
      <c r="M17" s="131">
        <v>0</v>
      </c>
      <c r="N17" s="130">
        <f t="shared" si="0"/>
        <v>2659.8746092799997</v>
      </c>
      <c r="O17" s="43" t="s">
        <v>1110</v>
      </c>
      <c r="P17" s="80">
        <v>214.52460207999997</v>
      </c>
      <c r="Q17" s="51">
        <f t="shared" si="1"/>
        <v>214.52460207999997</v>
      </c>
      <c r="R17" s="6">
        <v>0.20000939011221183</v>
      </c>
      <c r="S17" s="6">
        <v>0.1366</v>
      </c>
      <c r="T17" s="51">
        <f t="shared" si="2"/>
        <v>435.0314459199999</v>
      </c>
      <c r="U17" s="79">
        <v>435.0314459199999</v>
      </c>
      <c r="V17" s="79">
        <v>0</v>
      </c>
      <c r="W17" s="7">
        <f t="shared" si="3"/>
        <v>2.0278860405846091</v>
      </c>
      <c r="X17" s="132">
        <v>0.1968811333179474</v>
      </c>
      <c r="Y17" s="4"/>
      <c r="AB17" s="8" t="s">
        <v>503</v>
      </c>
      <c r="AC17" s="43" t="s">
        <v>504</v>
      </c>
      <c r="AD17" s="43" t="s">
        <v>36</v>
      </c>
      <c r="AE17" s="43" t="s">
        <v>60</v>
      </c>
      <c r="AF17" s="43" t="s">
        <v>275</v>
      </c>
    </row>
    <row r="18" spans="2:32" x14ac:dyDescent="0.3">
      <c r="B18" s="18">
        <v>15</v>
      </c>
      <c r="C18" s="75" t="s">
        <v>505</v>
      </c>
      <c r="D18" s="75" t="s">
        <v>506</v>
      </c>
      <c r="E18" s="43" t="s">
        <v>30</v>
      </c>
      <c r="F18" s="43" t="s">
        <v>204</v>
      </c>
      <c r="G18" s="129">
        <v>43642</v>
      </c>
      <c r="H18" s="43" t="s">
        <v>32</v>
      </c>
      <c r="I18" s="86" t="s">
        <v>49</v>
      </c>
      <c r="J18" s="130">
        <v>490.69829499999997</v>
      </c>
      <c r="K18" s="130" t="s">
        <v>49</v>
      </c>
      <c r="L18" s="130">
        <v>0</v>
      </c>
      <c r="M18" s="131">
        <v>0</v>
      </c>
      <c r="N18" s="130">
        <f t="shared" si="0"/>
        <v>0</v>
      </c>
      <c r="O18" s="43" t="s">
        <v>97</v>
      </c>
      <c r="P18" s="80">
        <v>140.08499500000002</v>
      </c>
      <c r="Q18" s="51">
        <v>0</v>
      </c>
      <c r="R18" s="6">
        <v>0.1288</v>
      </c>
      <c r="S18" s="6" t="s">
        <v>49</v>
      </c>
      <c r="T18" s="51">
        <f t="shared" si="2"/>
        <v>163.08752999999999</v>
      </c>
      <c r="U18" s="79">
        <v>0</v>
      </c>
      <c r="V18" s="79">
        <v>163.08752999999999</v>
      </c>
      <c r="W18" s="7">
        <f t="shared" si="3"/>
        <v>1.1642041319271914</v>
      </c>
      <c r="X18" s="132">
        <v>0.13068216443061831</v>
      </c>
      <c r="Y18" s="86" t="s">
        <v>457</v>
      </c>
      <c r="Z18" s="116">
        <f>W18</f>
        <v>1.1642041319271914</v>
      </c>
      <c r="AA18" s="43" t="s">
        <v>507</v>
      </c>
      <c r="AB18" s="43" t="s">
        <v>508</v>
      </c>
      <c r="AC18" s="43" t="s">
        <v>73</v>
      </c>
      <c r="AD18" s="43" t="s">
        <v>69</v>
      </c>
      <c r="AE18" s="43" t="s">
        <v>69</v>
      </c>
      <c r="AF18" s="43" t="s">
        <v>461</v>
      </c>
    </row>
    <row r="19" spans="2:32" x14ac:dyDescent="0.3">
      <c r="B19" s="18">
        <f t="shared" ref="B19:B24" si="6">IF(C19="","",B18+1)</f>
        <v>16</v>
      </c>
      <c r="C19" s="75" t="s">
        <v>297</v>
      </c>
      <c r="D19" s="75" t="s">
        <v>298</v>
      </c>
      <c r="E19" s="43" t="s">
        <v>30</v>
      </c>
      <c r="F19" s="86" t="s">
        <v>64</v>
      </c>
      <c r="G19" s="134">
        <v>43928</v>
      </c>
      <c r="H19" s="43" t="s">
        <v>65</v>
      </c>
      <c r="I19" s="43" t="s">
        <v>300</v>
      </c>
      <c r="J19" s="130">
        <v>2129.9999689400001</v>
      </c>
      <c r="K19" s="130">
        <v>10382.79214</v>
      </c>
      <c r="L19" s="130">
        <f>K19</f>
        <v>10382.79214</v>
      </c>
      <c r="M19" s="131">
        <v>0</v>
      </c>
      <c r="N19" s="130">
        <f t="shared" si="0"/>
        <v>10382.79214</v>
      </c>
      <c r="O19" s="43" t="s">
        <v>1111</v>
      </c>
      <c r="P19" s="80">
        <v>370.47103249999998</v>
      </c>
      <c r="Q19" s="51">
        <f t="shared" si="1"/>
        <v>370.47103249999998</v>
      </c>
      <c r="R19" s="6">
        <v>6.0360553707479343E-2</v>
      </c>
      <c r="S19" s="6">
        <v>7.1900000000000006E-2</v>
      </c>
      <c r="T19" s="51">
        <f t="shared" si="2"/>
        <v>746.14974000000007</v>
      </c>
      <c r="U19" s="79">
        <v>746.14974000000007</v>
      </c>
      <c r="V19" s="79">
        <v>0</v>
      </c>
      <c r="W19" s="7">
        <f t="shared" si="3"/>
        <v>2.014056902006232</v>
      </c>
      <c r="X19" s="132">
        <v>0.1594977676868439</v>
      </c>
      <c r="Y19" s="4"/>
      <c r="AA19" s="43" t="s">
        <v>489</v>
      </c>
      <c r="AB19" s="43" t="s">
        <v>302</v>
      </c>
      <c r="AC19" s="43" t="s">
        <v>303</v>
      </c>
      <c r="AD19" s="43" t="s">
        <v>36</v>
      </c>
      <c r="AE19" s="43" t="s">
        <v>36</v>
      </c>
      <c r="AF19" s="43" t="s">
        <v>275</v>
      </c>
    </row>
    <row r="20" spans="2:32" x14ac:dyDescent="0.3">
      <c r="B20" s="18">
        <f t="shared" si="6"/>
        <v>17</v>
      </c>
      <c r="C20" s="75" t="s">
        <v>509</v>
      </c>
      <c r="D20" s="75" t="s">
        <v>510</v>
      </c>
      <c r="E20" s="43" t="s">
        <v>30</v>
      </c>
      <c r="F20" s="43" t="s">
        <v>154</v>
      </c>
      <c r="G20" s="129">
        <v>43502</v>
      </c>
      <c r="H20" s="43" t="s">
        <v>65</v>
      </c>
      <c r="I20" s="43" t="s">
        <v>111</v>
      </c>
      <c r="J20" s="130">
        <v>486.81314300000003</v>
      </c>
      <c r="K20" s="130">
        <v>3320</v>
      </c>
      <c r="L20" s="130">
        <v>0</v>
      </c>
      <c r="M20" s="131">
        <v>0</v>
      </c>
      <c r="N20" s="130">
        <f t="shared" si="0"/>
        <v>0</v>
      </c>
      <c r="O20" s="43" t="s">
        <v>104</v>
      </c>
      <c r="P20" s="80">
        <v>140.73637099999999</v>
      </c>
      <c r="Q20" s="51">
        <f t="shared" si="1"/>
        <v>140.73637099999999</v>
      </c>
      <c r="R20" s="6">
        <v>6.717984604618614E-2</v>
      </c>
      <c r="S20" s="6">
        <v>9.2899999999999996E-2</v>
      </c>
      <c r="T20" s="51">
        <f t="shared" si="2"/>
        <v>140.73637099999999</v>
      </c>
      <c r="U20" s="79">
        <v>140.73637099999999</v>
      </c>
      <c r="V20" s="79">
        <v>0</v>
      </c>
      <c r="W20" s="7">
        <f t="shared" si="3"/>
        <v>1</v>
      </c>
      <c r="X20" s="132">
        <v>2.9802322387695314E-9</v>
      </c>
      <c r="Y20" s="4"/>
      <c r="AA20" s="43" t="s">
        <v>511</v>
      </c>
      <c r="AB20" s="43" t="s">
        <v>512</v>
      </c>
      <c r="AC20" s="43" t="s">
        <v>513</v>
      </c>
      <c r="AD20" s="43" t="s">
        <v>36</v>
      </c>
      <c r="AE20" s="43" t="s">
        <v>36</v>
      </c>
      <c r="AF20" s="43" t="s">
        <v>275</v>
      </c>
    </row>
    <row r="21" spans="2:32" x14ac:dyDescent="0.3">
      <c r="B21" s="18">
        <f t="shared" si="6"/>
        <v>18</v>
      </c>
      <c r="C21" s="8" t="s">
        <v>514</v>
      </c>
      <c r="D21" s="8" t="s">
        <v>515</v>
      </c>
      <c r="E21" s="43" t="s">
        <v>472</v>
      </c>
      <c r="F21" s="86" t="s">
        <v>516</v>
      </c>
      <c r="G21" s="134">
        <v>44057</v>
      </c>
      <c r="H21" s="43" t="s">
        <v>32</v>
      </c>
      <c r="I21" s="43" t="s">
        <v>111</v>
      </c>
      <c r="J21" s="130">
        <v>2041.1191342245695</v>
      </c>
      <c r="K21" s="130">
        <v>16824.596000000001</v>
      </c>
      <c r="L21" s="130">
        <f>K21</f>
        <v>16824.596000000001</v>
      </c>
      <c r="M21" s="131">
        <v>0</v>
      </c>
      <c r="N21" s="130">
        <f t="shared" si="0"/>
        <v>16824.596000000001</v>
      </c>
      <c r="O21" s="43" t="s">
        <v>1112</v>
      </c>
      <c r="P21" s="80">
        <v>385.25398972000005</v>
      </c>
      <c r="Q21" s="51">
        <f t="shared" si="1"/>
        <v>385.25398972000005</v>
      </c>
      <c r="R21" s="6">
        <v>9.9992798702076419E-2</v>
      </c>
      <c r="S21" s="6">
        <v>7.8700000000000006E-2</v>
      </c>
      <c r="T21" s="51">
        <f t="shared" si="2"/>
        <v>1199.6155495165549</v>
      </c>
      <c r="U21" s="79">
        <v>1199.6155495165549</v>
      </c>
      <c r="V21" s="79">
        <v>0</v>
      </c>
      <c r="W21" s="7">
        <f t="shared" si="3"/>
        <v>3.1138303081258867</v>
      </c>
      <c r="X21" s="132">
        <v>0.32381964325904844</v>
      </c>
      <c r="Y21" s="4"/>
      <c r="AA21" s="43" t="s">
        <v>517</v>
      </c>
      <c r="AB21" s="43" t="s">
        <v>974</v>
      </c>
      <c r="AC21" s="43" t="s">
        <v>443</v>
      </c>
      <c r="AD21" s="43" t="s">
        <v>69</v>
      </c>
      <c r="AE21" s="43" t="s">
        <v>69</v>
      </c>
      <c r="AF21" s="43" t="s">
        <v>275</v>
      </c>
    </row>
    <row r="22" spans="2:32" x14ac:dyDescent="0.3">
      <c r="B22" s="18">
        <f t="shared" si="6"/>
        <v>19</v>
      </c>
      <c r="C22" s="75" t="s">
        <v>518</v>
      </c>
      <c r="D22" s="75" t="s">
        <v>519</v>
      </c>
      <c r="E22" s="43" t="s">
        <v>81</v>
      </c>
      <c r="F22" s="43" t="s">
        <v>64</v>
      </c>
      <c r="G22" s="129">
        <v>43636</v>
      </c>
      <c r="H22" s="43" t="s">
        <v>32</v>
      </c>
      <c r="I22" s="43" t="s">
        <v>435</v>
      </c>
      <c r="J22" s="130">
        <v>1235.0005759999999</v>
      </c>
      <c r="K22" s="130">
        <v>2214.7230412200001</v>
      </c>
      <c r="L22" s="130">
        <f>K22</f>
        <v>2214.7230412200001</v>
      </c>
      <c r="M22" s="131">
        <v>0</v>
      </c>
      <c r="N22" s="130">
        <f t="shared" si="0"/>
        <v>2214.7230412200001</v>
      </c>
      <c r="O22" s="43" t="s">
        <v>1113</v>
      </c>
      <c r="P22" s="80">
        <v>199.69085574999997</v>
      </c>
      <c r="Q22" s="51">
        <f t="shared" si="1"/>
        <v>199.69085574999997</v>
      </c>
      <c r="R22" s="6">
        <v>0.12831283664315737</v>
      </c>
      <c r="S22" s="6">
        <v>0.1193</v>
      </c>
      <c r="T22" s="51">
        <f t="shared" si="2"/>
        <v>264.23733587999999</v>
      </c>
      <c r="U22" s="79">
        <v>264.23733587999999</v>
      </c>
      <c r="V22" s="79">
        <v>0</v>
      </c>
      <c r="W22" s="7">
        <f t="shared" si="3"/>
        <v>1.3232320272632214</v>
      </c>
      <c r="X22" s="132">
        <v>5.0566920638084406E-2</v>
      </c>
      <c r="Y22" s="4"/>
      <c r="AB22" s="43" t="s">
        <v>520</v>
      </c>
      <c r="AC22" s="43" t="s">
        <v>521</v>
      </c>
      <c r="AD22" s="43" t="s">
        <v>107</v>
      </c>
      <c r="AE22" s="43" t="s">
        <v>43</v>
      </c>
      <c r="AF22" s="43" t="s">
        <v>275</v>
      </c>
    </row>
    <row r="23" spans="2:32" x14ac:dyDescent="0.3">
      <c r="B23" s="18">
        <f t="shared" si="6"/>
        <v>20</v>
      </c>
      <c r="C23" s="43" t="s">
        <v>522</v>
      </c>
      <c r="D23" s="43" t="s">
        <v>523</v>
      </c>
      <c r="E23" s="43" t="s">
        <v>92</v>
      </c>
      <c r="F23" s="43" t="s">
        <v>524</v>
      </c>
      <c r="G23" s="134">
        <v>43627</v>
      </c>
      <c r="H23" s="43" t="s">
        <v>32</v>
      </c>
      <c r="I23" s="86" t="s">
        <v>49</v>
      </c>
      <c r="J23" s="63" t="s">
        <v>49</v>
      </c>
      <c r="K23" s="63" t="s">
        <v>49</v>
      </c>
      <c r="L23" s="130">
        <v>0</v>
      </c>
      <c r="M23" s="131">
        <v>0</v>
      </c>
      <c r="N23" s="63">
        <f t="shared" si="0"/>
        <v>0</v>
      </c>
      <c r="O23" s="43" t="s">
        <v>104</v>
      </c>
      <c r="P23" s="80">
        <v>105.99944000000001</v>
      </c>
      <c r="Q23" s="51">
        <f t="shared" si="1"/>
        <v>105.99944000000001</v>
      </c>
      <c r="R23" s="6">
        <v>0.25</v>
      </c>
      <c r="S23" s="6">
        <v>0.25</v>
      </c>
      <c r="T23" s="51">
        <f t="shared" si="2"/>
        <v>105.99944000000001</v>
      </c>
      <c r="U23" s="79">
        <v>105.99944000000001</v>
      </c>
      <c r="V23" s="79">
        <v>0</v>
      </c>
      <c r="W23" s="7">
        <f t="shared" si="3"/>
        <v>1</v>
      </c>
      <c r="X23" s="132">
        <v>0</v>
      </c>
      <c r="Y23" s="4"/>
      <c r="AA23" s="43" t="s">
        <v>525</v>
      </c>
      <c r="AB23" s="43" t="s">
        <v>526</v>
      </c>
      <c r="AC23" s="43" t="s">
        <v>527</v>
      </c>
      <c r="AD23" s="43" t="s">
        <v>69</v>
      </c>
      <c r="AE23" s="43" t="s">
        <v>69</v>
      </c>
      <c r="AF23" s="43" t="s">
        <v>275</v>
      </c>
    </row>
    <row r="24" spans="2:32" x14ac:dyDescent="0.3">
      <c r="B24" s="18">
        <f t="shared" si="6"/>
        <v>21</v>
      </c>
      <c r="C24" s="75" t="s">
        <v>528</v>
      </c>
      <c r="D24" s="75" t="s">
        <v>529</v>
      </c>
      <c r="E24" s="43" t="s">
        <v>30</v>
      </c>
      <c r="F24" s="43" t="s">
        <v>182</v>
      </c>
      <c r="G24" s="129">
        <v>43459</v>
      </c>
      <c r="H24" s="43" t="s">
        <v>32</v>
      </c>
      <c r="I24" s="43" t="s">
        <v>435</v>
      </c>
      <c r="J24" s="130">
        <v>329.78543999999999</v>
      </c>
      <c r="K24" s="130">
        <v>4835.0695800000003</v>
      </c>
      <c r="L24" s="130">
        <f>K24</f>
        <v>4835.0695800000003</v>
      </c>
      <c r="M24" s="131">
        <v>0</v>
      </c>
      <c r="N24" s="130">
        <f t="shared" si="0"/>
        <v>4835.0695800000003</v>
      </c>
      <c r="O24" s="43" t="s">
        <v>1114</v>
      </c>
      <c r="P24" s="80">
        <v>163.99336100000002</v>
      </c>
      <c r="Q24" s="51">
        <f t="shared" si="1"/>
        <v>163.99336100000002</v>
      </c>
      <c r="R24" s="6">
        <v>0.21460000000000001</v>
      </c>
      <c r="S24" s="6">
        <v>0.1333634094258474</v>
      </c>
      <c r="T24" s="51">
        <f t="shared" si="2"/>
        <v>485.44104400000003</v>
      </c>
      <c r="U24" s="79">
        <v>485.44104400000003</v>
      </c>
      <c r="V24" s="79">
        <v>0</v>
      </c>
      <c r="W24" s="7">
        <f t="shared" si="3"/>
        <v>2.9601261968159793</v>
      </c>
      <c r="X24" s="132">
        <v>0.24391881823539735</v>
      </c>
      <c r="Y24" s="4"/>
      <c r="AA24" s="43" t="s">
        <v>530</v>
      </c>
      <c r="AB24" s="8" t="s">
        <v>531</v>
      </c>
      <c r="AC24" s="43" t="s">
        <v>532</v>
      </c>
      <c r="AD24" s="43" t="s">
        <v>43</v>
      </c>
      <c r="AE24" s="43" t="s">
        <v>43</v>
      </c>
      <c r="AF24" s="43" t="s">
        <v>275</v>
      </c>
    </row>
    <row r="25" spans="2:32" x14ac:dyDescent="0.3">
      <c r="B25" s="18">
        <v>22</v>
      </c>
      <c r="C25" s="8" t="s">
        <v>533</v>
      </c>
      <c r="D25" s="8" t="s">
        <v>534</v>
      </c>
      <c r="E25" s="43" t="s">
        <v>30</v>
      </c>
      <c r="F25" s="86" t="s">
        <v>535</v>
      </c>
      <c r="G25" s="129">
        <v>44181</v>
      </c>
      <c r="H25" s="43" t="s">
        <v>32</v>
      </c>
      <c r="I25" s="43" t="s">
        <v>999</v>
      </c>
      <c r="J25" s="130">
        <v>769.59157806000007</v>
      </c>
      <c r="K25" s="130">
        <v>2810</v>
      </c>
      <c r="L25" s="130">
        <f>K25</f>
        <v>2810</v>
      </c>
      <c r="M25" s="133">
        <v>1</v>
      </c>
      <c r="N25" s="130">
        <f t="shared" si="0"/>
        <v>0</v>
      </c>
      <c r="O25" s="43" t="s">
        <v>550</v>
      </c>
      <c r="P25" s="80">
        <v>258.99864642000006</v>
      </c>
      <c r="Q25" s="51">
        <f t="shared" si="1"/>
        <v>258.99864642000006</v>
      </c>
      <c r="R25" s="6">
        <v>0.12018876910421267</v>
      </c>
      <c r="S25" s="6">
        <v>0.14712806174935467</v>
      </c>
      <c r="T25" s="51">
        <f t="shared" si="2"/>
        <v>0</v>
      </c>
      <c r="U25" s="79">
        <v>0</v>
      </c>
      <c r="V25" s="79">
        <v>0</v>
      </c>
      <c r="W25" s="7">
        <f t="shared" si="3"/>
        <v>0</v>
      </c>
      <c r="X25" s="132" t="s">
        <v>49</v>
      </c>
      <c r="Y25" s="4"/>
      <c r="AA25" s="43" t="s">
        <v>537</v>
      </c>
      <c r="AB25" s="43" t="s">
        <v>538</v>
      </c>
      <c r="AC25" s="43" t="s">
        <v>303</v>
      </c>
      <c r="AD25" s="43" t="s">
        <v>36</v>
      </c>
      <c r="AE25" s="43" t="s">
        <v>145</v>
      </c>
      <c r="AF25" s="43" t="s">
        <v>552</v>
      </c>
    </row>
    <row r="26" spans="2:32" x14ac:dyDescent="0.3">
      <c r="B26" s="18">
        <f>IF(C26="","",B25+1)</f>
        <v>23</v>
      </c>
      <c r="C26" s="8" t="s">
        <v>539</v>
      </c>
      <c r="D26" s="86" t="s">
        <v>540</v>
      </c>
      <c r="E26" s="43" t="s">
        <v>472</v>
      </c>
      <c r="F26" s="43" t="s">
        <v>182</v>
      </c>
      <c r="G26" s="129">
        <v>44320</v>
      </c>
      <c r="H26" s="43" t="s">
        <v>541</v>
      </c>
      <c r="I26" s="135" t="s">
        <v>111</v>
      </c>
      <c r="J26" s="130">
        <v>848.98212445599984</v>
      </c>
      <c r="K26" s="130">
        <v>6075.8929961598478</v>
      </c>
      <c r="L26" s="130">
        <f>K26</f>
        <v>6075.8929961598478</v>
      </c>
      <c r="M26" s="131">
        <v>0</v>
      </c>
      <c r="N26" s="130">
        <f t="shared" si="0"/>
        <v>6075.8929961598478</v>
      </c>
      <c r="O26" s="43" t="s">
        <v>1000</v>
      </c>
      <c r="P26" s="80">
        <v>195.84461904800003</v>
      </c>
      <c r="Q26" s="51">
        <f t="shared" si="1"/>
        <v>195.84461904800003</v>
      </c>
      <c r="R26" s="6">
        <v>0.10021775913423202</v>
      </c>
      <c r="S26" s="6">
        <v>0.14587907719958818</v>
      </c>
      <c r="T26" s="51">
        <f t="shared" si="2"/>
        <v>490.72974968639994</v>
      </c>
      <c r="U26" s="79">
        <v>490.72974968639994</v>
      </c>
      <c r="V26" s="79">
        <v>0</v>
      </c>
      <c r="W26" s="7">
        <f t="shared" si="3"/>
        <v>2.505709638956819</v>
      </c>
      <c r="X26" s="132">
        <v>0.27555651068687437</v>
      </c>
      <c r="Y26" s="4"/>
      <c r="AA26" s="43" t="s">
        <v>321</v>
      </c>
      <c r="AB26" s="43" t="s">
        <v>542</v>
      </c>
      <c r="AC26" s="43" t="s">
        <v>411</v>
      </c>
      <c r="AD26" s="43" t="s">
        <v>43</v>
      </c>
      <c r="AE26" s="43" t="s">
        <v>43</v>
      </c>
      <c r="AF26" s="43" t="s">
        <v>275</v>
      </c>
    </row>
    <row r="27" spans="2:32" x14ac:dyDescent="0.3">
      <c r="B27" s="18">
        <f>IF(C27="","",B26+1)</f>
        <v>24</v>
      </c>
      <c r="C27" s="8" t="s">
        <v>543</v>
      </c>
      <c r="D27" s="135" t="s">
        <v>544</v>
      </c>
      <c r="E27" s="86" t="s">
        <v>49</v>
      </c>
      <c r="F27" s="86" t="s">
        <v>49</v>
      </c>
      <c r="G27" s="129"/>
      <c r="H27" s="86" t="s">
        <v>49</v>
      </c>
      <c r="I27" s="86" t="s">
        <v>49</v>
      </c>
      <c r="J27" s="63" t="s">
        <v>49</v>
      </c>
      <c r="K27" s="63" t="s">
        <v>49</v>
      </c>
      <c r="L27" s="130">
        <v>0</v>
      </c>
      <c r="M27" s="131">
        <v>0</v>
      </c>
      <c r="N27" s="63">
        <f t="shared" si="0"/>
        <v>0</v>
      </c>
      <c r="O27" s="43" t="s">
        <v>49</v>
      </c>
      <c r="P27" s="80">
        <v>110.23542879999999</v>
      </c>
      <c r="Q27" s="51">
        <f t="shared" si="1"/>
        <v>110.23542879999999</v>
      </c>
      <c r="R27" s="6" t="s">
        <v>49</v>
      </c>
      <c r="S27" s="6" t="s">
        <v>49</v>
      </c>
      <c r="T27" s="51">
        <f t="shared" si="2"/>
        <v>235.69829485611592</v>
      </c>
      <c r="U27" s="79">
        <v>235.69829485611592</v>
      </c>
      <c r="V27" s="79">
        <v>0</v>
      </c>
      <c r="W27" s="7">
        <f t="shared" si="3"/>
        <v>2.1381356014294011</v>
      </c>
      <c r="X27" s="132">
        <v>0.18022132515907288</v>
      </c>
      <c r="Y27" s="4"/>
      <c r="AA27" s="43" t="s">
        <v>321</v>
      </c>
      <c r="AB27" s="43" t="s">
        <v>321</v>
      </c>
      <c r="AC27" s="43" t="s">
        <v>321</v>
      </c>
      <c r="AD27" s="86"/>
      <c r="AE27" s="86"/>
      <c r="AF27" s="43" t="s">
        <v>275</v>
      </c>
    </row>
    <row r="28" spans="2:32" x14ac:dyDescent="0.3">
      <c r="B28" s="18">
        <f>IF(C28="","",B27+1)</f>
        <v>25</v>
      </c>
      <c r="C28" s="8" t="s">
        <v>545</v>
      </c>
      <c r="D28" s="135" t="s">
        <v>546</v>
      </c>
      <c r="E28" s="43" t="s">
        <v>92</v>
      </c>
      <c r="F28" s="86" t="s">
        <v>55</v>
      </c>
      <c r="G28" s="129">
        <v>44495</v>
      </c>
      <c r="H28" s="86" t="s">
        <v>32</v>
      </c>
      <c r="I28" s="135" t="s">
        <v>111</v>
      </c>
      <c r="J28" s="130">
        <v>3793.9990483329502</v>
      </c>
      <c r="K28" s="130">
        <v>15150.213775958202</v>
      </c>
      <c r="L28" s="130">
        <f>K28</f>
        <v>15150.213775958202</v>
      </c>
      <c r="M28" s="131">
        <v>0</v>
      </c>
      <c r="N28" s="130">
        <f t="shared" si="0"/>
        <v>15150.213775958202</v>
      </c>
      <c r="O28" s="43" t="s">
        <v>1001</v>
      </c>
      <c r="P28" s="80">
        <v>34.533613250000002</v>
      </c>
      <c r="Q28" s="51">
        <f t="shared" si="1"/>
        <v>34.533613250000002</v>
      </c>
      <c r="R28" s="6">
        <v>9.1021670828235045E-3</v>
      </c>
      <c r="S28" s="6">
        <v>5.067419542549835E-3</v>
      </c>
      <c r="T28" s="51">
        <f t="shared" si="2"/>
        <v>76.772489362098327</v>
      </c>
      <c r="U28" s="79">
        <v>76.772489362098327</v>
      </c>
      <c r="V28" s="79">
        <v>0</v>
      </c>
      <c r="W28" s="7">
        <f t="shared" si="3"/>
        <v>2.2231235638830329</v>
      </c>
      <c r="X28" s="132">
        <v>0.23499966263771063</v>
      </c>
      <c r="Y28" s="4"/>
      <c r="AA28" s="43" t="s">
        <v>321</v>
      </c>
      <c r="AB28" s="43" t="s">
        <v>1002</v>
      </c>
      <c r="AC28" s="43" t="s">
        <v>303</v>
      </c>
      <c r="AD28" s="43" t="s">
        <v>36</v>
      </c>
      <c r="AE28" s="43" t="s">
        <v>36</v>
      </c>
      <c r="AF28" s="43" t="s">
        <v>275</v>
      </c>
    </row>
    <row r="29" spans="2:32" x14ac:dyDescent="0.3">
      <c r="B29" s="18">
        <f>IF(C29="","",B28+1)</f>
        <v>26</v>
      </c>
      <c r="C29" s="75" t="s">
        <v>547</v>
      </c>
      <c r="D29" s="75" t="s">
        <v>548</v>
      </c>
      <c r="E29" s="43" t="s">
        <v>279</v>
      </c>
      <c r="F29" s="43" t="s">
        <v>549</v>
      </c>
      <c r="G29" s="129">
        <v>43724</v>
      </c>
      <c r="H29" s="43" t="s">
        <v>32</v>
      </c>
      <c r="I29" s="43" t="s">
        <v>139</v>
      </c>
      <c r="J29" s="130">
        <v>264.12134400000002</v>
      </c>
      <c r="K29" s="130">
        <v>447.61519600000003</v>
      </c>
      <c r="L29" s="130">
        <v>0</v>
      </c>
      <c r="M29" s="131">
        <v>0</v>
      </c>
      <c r="N29" s="130">
        <f t="shared" si="0"/>
        <v>0</v>
      </c>
      <c r="O29" s="43" t="s">
        <v>97</v>
      </c>
      <c r="P29" s="80">
        <v>93.580798999999999</v>
      </c>
      <c r="Q29" s="51">
        <f t="shared" si="1"/>
        <v>93.580798999999999</v>
      </c>
      <c r="R29" s="6">
        <v>0.22212128966223132</v>
      </c>
      <c r="S29" s="6" t="s">
        <v>49</v>
      </c>
      <c r="T29" s="51">
        <f t="shared" si="2"/>
        <v>6.8610000000000008E-3</v>
      </c>
      <c r="U29" s="79">
        <v>6.8610000000000008E-3</v>
      </c>
      <c r="V29" s="79">
        <v>0</v>
      </c>
      <c r="W29" s="7">
        <f t="shared" si="3"/>
        <v>7.3316322080130999E-5</v>
      </c>
      <c r="X29" s="132">
        <v>2.9802322387695314E-9</v>
      </c>
      <c r="Y29" s="4"/>
      <c r="AA29" s="43" t="s">
        <v>551</v>
      </c>
      <c r="AB29" s="43" t="s">
        <v>321</v>
      </c>
      <c r="AC29" s="43" t="s">
        <v>321</v>
      </c>
      <c r="AD29" s="43" t="s">
        <v>36</v>
      </c>
      <c r="AE29" s="43" t="s">
        <v>36</v>
      </c>
      <c r="AF29" s="43" t="s">
        <v>568</v>
      </c>
    </row>
    <row r="30" spans="2:32" x14ac:dyDescent="0.3">
      <c r="B30" s="18">
        <f>IF(C30="","",B29+1)</f>
        <v>27</v>
      </c>
      <c r="C30" s="75" t="s">
        <v>553</v>
      </c>
      <c r="D30" s="75" t="s">
        <v>554</v>
      </c>
      <c r="E30" s="43" t="s">
        <v>81</v>
      </c>
      <c r="F30" s="43" t="s">
        <v>555</v>
      </c>
      <c r="G30" s="129">
        <v>43407</v>
      </c>
      <c r="H30" s="43" t="s">
        <v>32</v>
      </c>
      <c r="I30" s="43" t="s">
        <v>32</v>
      </c>
      <c r="J30" s="130">
        <v>263.56402800000001</v>
      </c>
      <c r="K30" s="130">
        <v>273.11174099999999</v>
      </c>
      <c r="L30" s="130">
        <v>0</v>
      </c>
      <c r="M30" s="131">
        <v>0</v>
      </c>
      <c r="N30" s="130">
        <f t="shared" si="0"/>
        <v>0</v>
      </c>
      <c r="O30" s="43" t="s">
        <v>550</v>
      </c>
      <c r="P30" s="80">
        <v>86.024390000000011</v>
      </c>
      <c r="Q30" s="51">
        <f t="shared" si="1"/>
        <v>86.024390000000011</v>
      </c>
      <c r="R30" s="6">
        <v>0.2276386404293381</v>
      </c>
      <c r="S30" s="6">
        <v>0.26647130021448029</v>
      </c>
      <c r="T30" s="51">
        <f t="shared" si="2"/>
        <v>0</v>
      </c>
      <c r="U30" s="79">
        <v>0</v>
      </c>
      <c r="V30" s="79">
        <v>0</v>
      </c>
      <c r="W30" s="7">
        <f t="shared" si="3"/>
        <v>0</v>
      </c>
      <c r="X30" s="132" t="s">
        <v>49</v>
      </c>
      <c r="Y30" s="4"/>
      <c r="AA30" s="43" t="s">
        <v>556</v>
      </c>
      <c r="AB30" s="43" t="s">
        <v>321</v>
      </c>
      <c r="AC30" s="43" t="s">
        <v>557</v>
      </c>
      <c r="AD30" s="43" t="s">
        <v>36</v>
      </c>
      <c r="AE30" s="43" t="s">
        <v>60</v>
      </c>
      <c r="AF30" s="43" t="s">
        <v>552</v>
      </c>
    </row>
    <row r="31" spans="2:32" x14ac:dyDescent="0.3">
      <c r="B31" s="18">
        <v>28</v>
      </c>
      <c r="C31" s="75" t="s">
        <v>558</v>
      </c>
      <c r="D31" s="75" t="s">
        <v>559</v>
      </c>
      <c r="E31" s="43" t="s">
        <v>348</v>
      </c>
      <c r="F31" s="43" t="s">
        <v>560</v>
      </c>
      <c r="G31" s="129">
        <v>43675</v>
      </c>
      <c r="H31" s="43" t="s">
        <v>32</v>
      </c>
      <c r="I31" s="43" t="s">
        <v>32</v>
      </c>
      <c r="J31" s="130">
        <v>242.82245399999999</v>
      </c>
      <c r="K31" s="130">
        <f>J31</f>
        <v>242.82245399999999</v>
      </c>
      <c r="L31" s="130">
        <v>0</v>
      </c>
      <c r="M31" s="131">
        <v>0</v>
      </c>
      <c r="N31" s="130">
        <f t="shared" si="0"/>
        <v>0</v>
      </c>
      <c r="O31" s="43" t="s">
        <v>550</v>
      </c>
      <c r="P31" s="80">
        <v>60.003228</v>
      </c>
      <c r="Q31" s="51">
        <f t="shared" si="1"/>
        <v>60.003228</v>
      </c>
      <c r="R31" s="6">
        <v>0.24216008151250989</v>
      </c>
      <c r="S31" s="6">
        <v>0.24216008151250989</v>
      </c>
      <c r="T31" s="51">
        <f t="shared" si="2"/>
        <v>0</v>
      </c>
      <c r="U31" s="79">
        <v>0</v>
      </c>
      <c r="V31" s="79">
        <v>0</v>
      </c>
      <c r="W31" s="7">
        <f t="shared" si="3"/>
        <v>0</v>
      </c>
      <c r="X31" s="132" t="s">
        <v>49</v>
      </c>
      <c r="Y31" s="4"/>
      <c r="AA31" s="43" t="s">
        <v>561</v>
      </c>
      <c r="AB31" s="43" t="s">
        <v>321</v>
      </c>
      <c r="AC31" s="43" t="s">
        <v>562</v>
      </c>
      <c r="AD31" s="43" t="s">
        <v>36</v>
      </c>
      <c r="AE31" s="43" t="s">
        <v>36</v>
      </c>
      <c r="AF31" s="43" t="s">
        <v>552</v>
      </c>
    </row>
    <row r="32" spans="2:32" x14ac:dyDescent="0.3">
      <c r="B32" s="4">
        <v>29</v>
      </c>
      <c r="C32" s="75" t="s">
        <v>563</v>
      </c>
      <c r="D32" s="75" t="s">
        <v>564</v>
      </c>
      <c r="E32" s="43" t="s">
        <v>30</v>
      </c>
      <c r="F32" s="43" t="s">
        <v>565</v>
      </c>
      <c r="G32" s="129">
        <v>43878</v>
      </c>
      <c r="H32" s="43" t="s">
        <v>32</v>
      </c>
      <c r="I32" s="86" t="s">
        <v>49</v>
      </c>
      <c r="J32" s="130">
        <v>121.6</v>
      </c>
      <c r="K32" s="130" t="s">
        <v>49</v>
      </c>
      <c r="L32" s="130" t="s">
        <v>49</v>
      </c>
      <c r="M32" s="131">
        <v>0</v>
      </c>
      <c r="N32" s="130" t="s">
        <v>49</v>
      </c>
      <c r="O32" s="43" t="s">
        <v>97</v>
      </c>
      <c r="P32" s="80">
        <v>21.6</v>
      </c>
      <c r="Q32" s="51">
        <v>0</v>
      </c>
      <c r="R32" s="6">
        <v>0.17763157894736842</v>
      </c>
      <c r="S32" s="6" t="s">
        <v>49</v>
      </c>
      <c r="T32" s="51">
        <f t="shared" si="2"/>
        <v>2.1600000000000001E-2</v>
      </c>
      <c r="U32" s="79">
        <v>0</v>
      </c>
      <c r="V32" s="79">
        <v>2.1600000000000001E-2</v>
      </c>
      <c r="W32" s="7">
        <f t="shared" si="3"/>
        <v>1E-3</v>
      </c>
      <c r="X32" s="132">
        <v>-0.87307074982672939</v>
      </c>
      <c r="Y32" s="4"/>
      <c r="Z32" s="116">
        <f>W32</f>
        <v>1E-3</v>
      </c>
      <c r="AA32" s="43" t="s">
        <v>566</v>
      </c>
      <c r="AB32" s="43" t="s">
        <v>321</v>
      </c>
      <c r="AC32" s="43" t="s">
        <v>567</v>
      </c>
      <c r="AD32" s="43" t="s">
        <v>43</v>
      </c>
      <c r="AE32" s="43" t="s">
        <v>43</v>
      </c>
      <c r="AF32" s="43" t="s">
        <v>568</v>
      </c>
    </row>
    <row r="33" spans="2:32" x14ac:dyDescent="0.3">
      <c r="B33" s="89"/>
      <c r="C33" s="44"/>
      <c r="D33" s="44"/>
      <c r="E33" s="44"/>
      <c r="F33" s="44"/>
      <c r="G33" s="44"/>
      <c r="H33" s="44"/>
      <c r="I33" s="44"/>
      <c r="J33" s="44"/>
      <c r="K33" s="44"/>
      <c r="L33" s="44"/>
      <c r="M33" s="44"/>
      <c r="N33" s="44"/>
      <c r="O33" s="44"/>
      <c r="P33" s="55">
        <f>SUM(P4:P32)</f>
        <v>6490.0254169653108</v>
      </c>
      <c r="Q33" s="55">
        <f>SUM(Q4:Q32)</f>
        <v>6047.1598385053103</v>
      </c>
      <c r="R33" s="44"/>
      <c r="S33" s="44"/>
      <c r="T33" s="55">
        <f>SUM(T4:T32)</f>
        <v>17089.978194812691</v>
      </c>
      <c r="U33" s="55">
        <f>SUM(U4:U32)</f>
        <v>15873.04277875269</v>
      </c>
      <c r="V33" s="55">
        <f>SUM(V4:V32)</f>
        <v>1216.9354160600001</v>
      </c>
      <c r="W33" s="5">
        <f>T33/P33</f>
        <v>2.6332682997108878</v>
      </c>
      <c r="X33" s="45">
        <v>0.25267153808593745</v>
      </c>
      <c r="Y33" s="44"/>
      <c r="Z33" s="44"/>
      <c r="AA33" s="44"/>
      <c r="AB33" s="44"/>
      <c r="AC33" s="44"/>
      <c r="AD33" s="44"/>
      <c r="AE33" s="44"/>
      <c r="AF33" s="44"/>
    </row>
    <row r="34" spans="2:32" x14ac:dyDescent="0.3">
      <c r="C34" s="121"/>
      <c r="G34" s="4"/>
    </row>
    <row r="35" spans="2:32" x14ac:dyDescent="0.3">
      <c r="C35" s="121"/>
      <c r="G35" s="4"/>
    </row>
    <row r="36" spans="2:32" x14ac:dyDescent="0.3">
      <c r="C36" s="43" t="s">
        <v>264</v>
      </c>
      <c r="G3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9414F-30DB-4EC7-9C37-362E06CF1942}">
  <dimension ref="B1:AF47"/>
  <sheetViews>
    <sheetView showGridLines="0" zoomScaleNormal="100" workbookViewId="0">
      <pane xSplit="4" ySplit="3" topLeftCell="T42" activePane="bottomRight" state="frozen"/>
      <selection pane="topRight" activeCell="E1" sqref="E1"/>
      <selection pane="bottomLeft" activeCell="A4" sqref="A4"/>
      <selection pane="bottomRight" activeCell="T62" sqref="T62"/>
    </sheetView>
  </sheetViews>
  <sheetFormatPr defaultColWidth="8.6328125" defaultRowHeight="13" x14ac:dyDescent="0.3"/>
  <cols>
    <col min="1" max="1" width="4.08984375" style="43" customWidth="1"/>
    <col min="2" max="2" width="8.6328125" style="43"/>
    <col min="3" max="3" width="38.36328125" style="43" customWidth="1"/>
    <col min="4" max="4" width="21.90625" style="43" customWidth="1"/>
    <col min="5" max="5" width="14.6328125" style="43" customWidth="1"/>
    <col min="6" max="6" width="22.36328125" style="43" bestFit="1" customWidth="1"/>
    <col min="7" max="7" width="14.6328125" style="43" customWidth="1"/>
    <col min="8" max="8" width="16.90625" style="43" customWidth="1"/>
    <col min="9" max="9" width="16.6328125" style="43" customWidth="1"/>
    <col min="10" max="10" width="15" style="43" bestFit="1" customWidth="1"/>
    <col min="11" max="12" width="18.36328125" style="43" bestFit="1" customWidth="1"/>
    <col min="13" max="13" width="16" style="43" bestFit="1" customWidth="1"/>
    <col min="14" max="14" width="15.6328125" style="43" bestFit="1" customWidth="1"/>
    <col min="15" max="15" width="16.6328125" style="43" customWidth="1"/>
    <col min="16" max="23" width="18.6328125" style="43" customWidth="1"/>
    <col min="24" max="24" width="18.6328125" style="111" customWidth="1"/>
    <col min="25" max="25" width="11.54296875" style="43" customWidth="1"/>
    <col min="26" max="26" width="9.453125" style="43" customWidth="1"/>
    <col min="27" max="27" width="38.54296875" style="43" customWidth="1"/>
    <col min="28" max="28" width="55.453125" style="43" customWidth="1"/>
    <col min="29" max="29" width="46.6328125" style="43" bestFit="1" customWidth="1"/>
    <col min="30" max="30" width="17.453125" style="43" bestFit="1" customWidth="1"/>
    <col min="31" max="31" width="12" style="43" customWidth="1"/>
    <col min="32" max="32" width="11.08984375" style="43" customWidth="1"/>
    <col min="33" max="16384" width="8.6328125" style="43"/>
  </cols>
  <sheetData>
    <row r="1" spans="2:32" customFormat="1" ht="14.5" x14ac:dyDescent="0.35"/>
    <row r="2" spans="2:32" ht="39" x14ac:dyDescent="0.3">
      <c r="B2" s="40" t="s">
        <v>0</v>
      </c>
      <c r="C2" s="40" t="s">
        <v>1</v>
      </c>
      <c r="D2" s="40" t="s">
        <v>2</v>
      </c>
      <c r="E2" s="40" t="s">
        <v>3</v>
      </c>
      <c r="F2" s="40" t="s">
        <v>4</v>
      </c>
      <c r="G2" s="40" t="s">
        <v>5</v>
      </c>
      <c r="H2" s="40" t="s">
        <v>6</v>
      </c>
      <c r="I2" s="40" t="s">
        <v>7</v>
      </c>
      <c r="J2" s="40" t="s">
        <v>8</v>
      </c>
      <c r="K2" s="40" t="s">
        <v>9</v>
      </c>
      <c r="L2" s="41" t="s">
        <v>10</v>
      </c>
      <c r="M2" s="41" t="s">
        <v>11</v>
      </c>
      <c r="N2" s="41" t="s">
        <v>12</v>
      </c>
      <c r="O2" s="40" t="s">
        <v>13</v>
      </c>
      <c r="P2" s="40" t="s">
        <v>14</v>
      </c>
      <c r="Q2" s="40" t="s">
        <v>15</v>
      </c>
      <c r="R2" s="41" t="s">
        <v>621</v>
      </c>
      <c r="S2" s="41" t="s">
        <v>622</v>
      </c>
      <c r="T2" s="40" t="s">
        <v>16</v>
      </c>
      <c r="U2" s="40" t="s">
        <v>17</v>
      </c>
      <c r="V2" s="40" t="s">
        <v>18</v>
      </c>
      <c r="W2" s="40" t="s">
        <v>19</v>
      </c>
      <c r="X2" s="122" t="s">
        <v>1130</v>
      </c>
      <c r="Y2" s="41" t="s">
        <v>20</v>
      </c>
      <c r="Z2" s="41" t="s">
        <v>21</v>
      </c>
      <c r="AA2" s="40" t="s">
        <v>22</v>
      </c>
      <c r="AB2" s="40" t="s">
        <v>955</v>
      </c>
      <c r="AC2" s="40" t="s">
        <v>23</v>
      </c>
      <c r="AD2" s="40" t="s">
        <v>24</v>
      </c>
      <c r="AE2" s="40" t="s">
        <v>25</v>
      </c>
      <c r="AF2" s="40" t="s">
        <v>265</v>
      </c>
    </row>
    <row r="3" spans="2:32" x14ac:dyDescent="0.3">
      <c r="B3" s="44"/>
      <c r="C3" s="44"/>
      <c r="D3" s="44"/>
      <c r="E3" s="44"/>
      <c r="F3" s="44"/>
      <c r="G3" s="44" t="s">
        <v>26</v>
      </c>
      <c r="H3" s="44"/>
      <c r="I3" s="44"/>
      <c r="J3" s="44" t="s">
        <v>1129</v>
      </c>
      <c r="K3" s="44" t="s">
        <v>1129</v>
      </c>
      <c r="L3" s="44" t="s">
        <v>1129</v>
      </c>
      <c r="M3" s="44"/>
      <c r="N3" s="44" t="s">
        <v>1129</v>
      </c>
      <c r="O3" s="44"/>
      <c r="P3" s="44" t="s">
        <v>1129</v>
      </c>
      <c r="Q3" s="44" t="s">
        <v>1129</v>
      </c>
      <c r="R3" s="44" t="s">
        <v>27</v>
      </c>
      <c r="S3" s="44" t="s">
        <v>27</v>
      </c>
      <c r="T3" s="44" t="s">
        <v>1129</v>
      </c>
      <c r="U3" s="44" t="s">
        <v>1129</v>
      </c>
      <c r="V3" s="44" t="s">
        <v>1129</v>
      </c>
      <c r="W3" s="44" t="s">
        <v>268</v>
      </c>
      <c r="X3" s="123" t="s">
        <v>27</v>
      </c>
      <c r="Y3" s="44"/>
      <c r="Z3" s="44"/>
      <c r="AA3" s="44"/>
      <c r="AB3" s="44"/>
      <c r="AC3" s="44"/>
      <c r="AD3" s="44"/>
      <c r="AE3" s="44"/>
      <c r="AF3" s="44"/>
    </row>
    <row r="4" spans="2:32" x14ac:dyDescent="0.3">
      <c r="B4" s="4">
        <v>1</v>
      </c>
      <c r="C4" s="43" t="s">
        <v>319</v>
      </c>
      <c r="D4" s="43" t="s">
        <v>320</v>
      </c>
      <c r="E4" s="43" t="s">
        <v>30</v>
      </c>
      <c r="F4" s="43" t="s">
        <v>293</v>
      </c>
      <c r="G4" s="47">
        <v>44550</v>
      </c>
      <c r="H4" s="4" t="s">
        <v>32</v>
      </c>
      <c r="I4" s="4" t="s">
        <v>139</v>
      </c>
      <c r="J4" s="124">
        <v>749.99924999999996</v>
      </c>
      <c r="K4" s="124">
        <v>4365.6896280000001</v>
      </c>
      <c r="L4" s="124">
        <f>K4</f>
        <v>4365.6896280000001</v>
      </c>
      <c r="M4" s="49">
        <v>0</v>
      </c>
      <c r="N4" s="109">
        <f>L4*(1-M4)</f>
        <v>4365.6896280000001</v>
      </c>
      <c r="O4" s="43" t="s">
        <v>104</v>
      </c>
      <c r="P4" s="51">
        <v>209.981942</v>
      </c>
      <c r="Q4" s="51">
        <f>P4</f>
        <v>209.981942</v>
      </c>
      <c r="R4" s="6">
        <v>0.14998514998514997</v>
      </c>
      <c r="S4" s="6">
        <v>0.15620000000000001</v>
      </c>
      <c r="T4" s="51">
        <f>U4+V4</f>
        <v>209.981942</v>
      </c>
      <c r="U4" s="51">
        <v>209.981942</v>
      </c>
      <c r="V4" s="51">
        <v>0</v>
      </c>
      <c r="W4" s="48">
        <f t="shared" ref="W4:W36" si="0">T4/P4</f>
        <v>1</v>
      </c>
      <c r="X4" s="21" t="s">
        <v>49</v>
      </c>
      <c r="Y4" s="53" t="s">
        <v>321</v>
      </c>
      <c r="Z4" s="53" t="s">
        <v>321</v>
      </c>
      <c r="AA4" s="43" t="s">
        <v>949</v>
      </c>
      <c r="AB4" s="43" t="s">
        <v>322</v>
      </c>
      <c r="AD4" s="8" t="s">
        <v>43</v>
      </c>
      <c r="AE4" s="43" t="s">
        <v>43</v>
      </c>
      <c r="AF4" s="43" t="s">
        <v>275</v>
      </c>
    </row>
    <row r="5" spans="2:32" x14ac:dyDescent="0.3">
      <c r="B5" s="4">
        <f>B4+1</f>
        <v>2</v>
      </c>
      <c r="C5" s="43" t="s">
        <v>323</v>
      </c>
      <c r="D5" s="43" t="s">
        <v>324</v>
      </c>
      <c r="E5" s="43" t="s">
        <v>279</v>
      </c>
      <c r="F5" s="43" t="s">
        <v>293</v>
      </c>
      <c r="G5" s="47">
        <v>44560</v>
      </c>
      <c r="H5" s="4" t="s">
        <v>32</v>
      </c>
      <c r="I5" s="4" t="s">
        <v>111</v>
      </c>
      <c r="J5" s="80">
        <v>1069.99680698</v>
      </c>
      <c r="K5" s="124">
        <v>40400.461920000002</v>
      </c>
      <c r="L5" s="124">
        <v>28947.651714</v>
      </c>
      <c r="M5" s="60">
        <v>0.16164584864070541</v>
      </c>
      <c r="N5" s="109">
        <f>L5*(1-M5)</f>
        <v>24268.3839865349</v>
      </c>
      <c r="O5" s="43" t="s">
        <v>1131</v>
      </c>
      <c r="P5" s="51">
        <v>1295.2487169999999</v>
      </c>
      <c r="Q5" s="51">
        <f t="shared" ref="Q5:Q46" si="1">P5</f>
        <v>1295.2487169999999</v>
      </c>
      <c r="R5" s="6">
        <v>0.15179999999999999</v>
      </c>
      <c r="S5" s="6">
        <v>0.14430000000000001</v>
      </c>
      <c r="T5" s="51">
        <f t="shared" ref="T5:T46" si="2">U5+V5</f>
        <v>3322.681032</v>
      </c>
      <c r="U5" s="51">
        <v>3322.681032</v>
      </c>
      <c r="V5" s="51">
        <v>0</v>
      </c>
      <c r="W5" s="48">
        <f t="shared" si="0"/>
        <v>2.5652841715959021</v>
      </c>
      <c r="X5" s="21">
        <v>0.42037324309349067</v>
      </c>
      <c r="Y5" s="53" t="s">
        <v>321</v>
      </c>
      <c r="Z5" s="53" t="s">
        <v>321</v>
      </c>
      <c r="AA5" s="43" t="s">
        <v>950</v>
      </c>
      <c r="AB5" s="43" t="s">
        <v>325</v>
      </c>
      <c r="AC5" s="8"/>
      <c r="AD5" s="8" t="s">
        <v>43</v>
      </c>
      <c r="AE5" s="8" t="s">
        <v>43</v>
      </c>
      <c r="AF5" s="43" t="s">
        <v>275</v>
      </c>
    </row>
    <row r="6" spans="2:32" x14ac:dyDescent="0.3">
      <c r="B6" s="4">
        <f t="shared" ref="B6:B46" si="3">B5+1</f>
        <v>3</v>
      </c>
      <c r="C6" s="43" t="s">
        <v>326</v>
      </c>
      <c r="D6" s="43" t="s">
        <v>327</v>
      </c>
      <c r="E6" s="43" t="s">
        <v>279</v>
      </c>
      <c r="F6" s="43" t="s">
        <v>127</v>
      </c>
      <c r="G6" s="47">
        <v>44497</v>
      </c>
      <c r="H6" s="4" t="s">
        <v>32</v>
      </c>
      <c r="I6" s="4" t="s">
        <v>65</v>
      </c>
      <c r="J6" s="80">
        <v>733.77815999999996</v>
      </c>
      <c r="K6" s="124">
        <v>3327.7922439999998</v>
      </c>
      <c r="L6" s="124">
        <f>K6</f>
        <v>3327.7922439999998</v>
      </c>
      <c r="M6" s="49">
        <v>0</v>
      </c>
      <c r="N6" s="109">
        <f t="shared" ref="N6:N36" si="4">L6*(1-M6)</f>
        <v>3327.7922439999998</v>
      </c>
      <c r="O6" s="43" t="s">
        <v>1115</v>
      </c>
      <c r="P6" s="51">
        <v>189.60359339999999</v>
      </c>
      <c r="Q6" s="51">
        <f t="shared" si="1"/>
        <v>189.60359339999999</v>
      </c>
      <c r="R6" s="6">
        <v>0.14000000000000001</v>
      </c>
      <c r="S6" s="6">
        <v>0.129807137082804</v>
      </c>
      <c r="T6" s="51">
        <f t="shared" si="2"/>
        <v>431.97118399999999</v>
      </c>
      <c r="U6" s="51">
        <v>431.97118399999999</v>
      </c>
      <c r="V6" s="51">
        <v>0</v>
      </c>
      <c r="W6" s="48">
        <f t="shared" si="0"/>
        <v>2.2782858502511907</v>
      </c>
      <c r="X6" s="21">
        <v>0.28680589795112621</v>
      </c>
      <c r="Y6" s="53" t="s">
        <v>321</v>
      </c>
      <c r="Z6" s="53" t="s">
        <v>321</v>
      </c>
      <c r="AA6" s="43" t="s">
        <v>932</v>
      </c>
      <c r="AB6" s="43" t="s">
        <v>1033</v>
      </c>
      <c r="AC6" s="8" t="s">
        <v>486</v>
      </c>
      <c r="AD6" s="8" t="s">
        <v>145</v>
      </c>
      <c r="AE6" s="8" t="s">
        <v>145</v>
      </c>
      <c r="AF6" s="43" t="s">
        <v>275</v>
      </c>
    </row>
    <row r="7" spans="2:32" x14ac:dyDescent="0.3">
      <c r="B7" s="4">
        <f t="shared" si="3"/>
        <v>4</v>
      </c>
      <c r="C7" s="43" t="s">
        <v>328</v>
      </c>
      <c r="D7" s="43" t="s">
        <v>329</v>
      </c>
      <c r="E7" s="43" t="s">
        <v>92</v>
      </c>
      <c r="F7" s="43" t="s">
        <v>127</v>
      </c>
      <c r="G7" s="47">
        <v>44554</v>
      </c>
      <c r="H7" s="4" t="s">
        <v>32</v>
      </c>
      <c r="I7" s="4" t="s">
        <v>32</v>
      </c>
      <c r="J7" s="124">
        <v>787.62998479553846</v>
      </c>
      <c r="K7" s="124">
        <v>787.62998479553846</v>
      </c>
      <c r="L7" s="124">
        <f>K7</f>
        <v>787.62998479553846</v>
      </c>
      <c r="M7" s="60">
        <v>1</v>
      </c>
      <c r="N7" s="109">
        <f t="shared" si="4"/>
        <v>0</v>
      </c>
      <c r="O7" s="43" t="s">
        <v>550</v>
      </c>
      <c r="P7" s="51">
        <v>119.47623899999999</v>
      </c>
      <c r="Q7" s="51">
        <f t="shared" si="1"/>
        <v>119.47623899999999</v>
      </c>
      <c r="R7" s="6">
        <v>0.15169082095194092</v>
      </c>
      <c r="S7" s="6">
        <v>0.15169082095194092</v>
      </c>
      <c r="T7" s="51">
        <f t="shared" si="2"/>
        <v>0</v>
      </c>
      <c r="U7" s="51">
        <v>0</v>
      </c>
      <c r="V7" s="51">
        <v>0</v>
      </c>
      <c r="W7" s="48">
        <f t="shared" si="0"/>
        <v>0</v>
      </c>
      <c r="X7" s="21" t="s">
        <v>49</v>
      </c>
      <c r="Y7" s="53" t="s">
        <v>321</v>
      </c>
      <c r="Z7" s="53" t="s">
        <v>321</v>
      </c>
      <c r="AB7" s="43" t="s">
        <v>330</v>
      </c>
      <c r="AC7" s="8"/>
      <c r="AD7" s="43" t="s">
        <v>69</v>
      </c>
      <c r="AE7" s="43" t="s">
        <v>69</v>
      </c>
      <c r="AF7" s="43" t="s">
        <v>552</v>
      </c>
    </row>
    <row r="8" spans="2:32" x14ac:dyDescent="0.3">
      <c r="B8" s="4">
        <f t="shared" si="3"/>
        <v>5</v>
      </c>
      <c r="C8" s="43" t="s">
        <v>331</v>
      </c>
      <c r="D8" s="43" t="s">
        <v>332</v>
      </c>
      <c r="E8" s="43" t="s">
        <v>92</v>
      </c>
      <c r="F8" s="43" t="s">
        <v>127</v>
      </c>
      <c r="G8" s="47">
        <v>44559</v>
      </c>
      <c r="H8" s="4" t="s">
        <v>32</v>
      </c>
      <c r="I8" s="4" t="s">
        <v>32</v>
      </c>
      <c r="J8" s="124">
        <v>652.28996929071877</v>
      </c>
      <c r="K8" s="124">
        <v>1291.7448831999995</v>
      </c>
      <c r="L8" s="124">
        <f>K8</f>
        <v>1291.7448831999995</v>
      </c>
      <c r="M8" s="60">
        <v>1</v>
      </c>
      <c r="N8" s="109">
        <f t="shared" ref="N8" si="5">L8*(1-M8)</f>
        <v>0</v>
      </c>
      <c r="O8" s="43" t="s">
        <v>550</v>
      </c>
      <c r="P8" s="51">
        <v>162.81442881000001</v>
      </c>
      <c r="Q8" s="51">
        <f t="shared" si="1"/>
        <v>162.81442881000001</v>
      </c>
      <c r="R8" s="6">
        <v>0.15058821885121029</v>
      </c>
      <c r="S8" s="6">
        <v>0.15058821530795799</v>
      </c>
      <c r="T8" s="51">
        <f t="shared" si="2"/>
        <v>0</v>
      </c>
      <c r="U8" s="51">
        <v>0</v>
      </c>
      <c r="V8" s="51">
        <v>0</v>
      </c>
      <c r="W8" s="48">
        <f t="shared" si="0"/>
        <v>0</v>
      </c>
      <c r="X8" s="21">
        <v>-0.9514813373367359</v>
      </c>
      <c r="Y8" s="53" t="s">
        <v>321</v>
      </c>
      <c r="Z8" s="53" t="s">
        <v>321</v>
      </c>
      <c r="AB8" s="43" t="s">
        <v>333</v>
      </c>
      <c r="AC8" s="43" t="s">
        <v>941</v>
      </c>
      <c r="AD8" s="43" t="s">
        <v>43</v>
      </c>
      <c r="AE8" s="43" t="s">
        <v>43</v>
      </c>
      <c r="AF8" s="43" t="s">
        <v>552</v>
      </c>
    </row>
    <row r="9" spans="2:32" x14ac:dyDescent="0.3">
      <c r="B9" s="4">
        <f t="shared" si="3"/>
        <v>6</v>
      </c>
      <c r="C9" s="43" t="s">
        <v>334</v>
      </c>
      <c r="D9" s="43" t="s">
        <v>335</v>
      </c>
      <c r="E9" s="43" t="s">
        <v>30</v>
      </c>
      <c r="F9" s="43" t="s">
        <v>31</v>
      </c>
      <c r="G9" s="47">
        <v>44591</v>
      </c>
      <c r="H9" s="4" t="s">
        <v>32</v>
      </c>
      <c r="I9" s="4" t="s">
        <v>32</v>
      </c>
      <c r="J9" s="125">
        <v>840.00006580000002</v>
      </c>
      <c r="K9" s="125">
        <v>840.00006580000002</v>
      </c>
      <c r="L9" s="124">
        <f>K9</f>
        <v>840.00006580000002</v>
      </c>
      <c r="M9" s="60">
        <v>0.5</v>
      </c>
      <c r="N9" s="109">
        <f t="shared" si="4"/>
        <v>420.00003290000001</v>
      </c>
      <c r="O9" s="43" t="s">
        <v>1032</v>
      </c>
      <c r="P9" s="51">
        <v>104.97996368000001</v>
      </c>
      <c r="Q9" s="51">
        <f t="shared" si="1"/>
        <v>104.97996368000001</v>
      </c>
      <c r="R9" s="6">
        <v>0.125</v>
      </c>
      <c r="S9" s="6">
        <v>0.125</v>
      </c>
      <c r="T9" s="51">
        <f t="shared" si="2"/>
        <v>52.489981840000006</v>
      </c>
      <c r="U9" s="51">
        <v>52.489981840000006</v>
      </c>
      <c r="V9" s="51">
        <v>0</v>
      </c>
      <c r="W9" s="48">
        <f t="shared" si="0"/>
        <v>0.5</v>
      </c>
      <c r="X9" s="21">
        <v>-0.16277556978166105</v>
      </c>
      <c r="Y9" s="53" t="s">
        <v>321</v>
      </c>
      <c r="Z9" s="53" t="s">
        <v>321</v>
      </c>
      <c r="AA9" s="43" t="s">
        <v>926</v>
      </c>
      <c r="AB9" s="43" t="s">
        <v>336</v>
      </c>
      <c r="AD9" s="43" t="s">
        <v>36</v>
      </c>
      <c r="AE9" s="43" t="s">
        <v>36</v>
      </c>
      <c r="AF9" s="43" t="s">
        <v>275</v>
      </c>
    </row>
    <row r="10" spans="2:32" x14ac:dyDescent="0.3">
      <c r="B10" s="4">
        <f t="shared" si="3"/>
        <v>7</v>
      </c>
      <c r="C10" s="43" t="s">
        <v>337</v>
      </c>
      <c r="D10" s="43" t="s">
        <v>338</v>
      </c>
      <c r="E10" s="43" t="s">
        <v>30</v>
      </c>
      <c r="F10" s="43" t="s">
        <v>127</v>
      </c>
      <c r="G10" s="47">
        <v>44629</v>
      </c>
      <c r="H10" s="4" t="s">
        <v>32</v>
      </c>
      <c r="I10" s="4" t="s">
        <v>32</v>
      </c>
      <c r="J10" s="124">
        <v>842.25397367999994</v>
      </c>
      <c r="K10" s="125">
        <v>842.25397367999994</v>
      </c>
      <c r="L10" s="125">
        <f>K10</f>
        <v>842.25397367999994</v>
      </c>
      <c r="M10" s="60">
        <v>0.5</v>
      </c>
      <c r="N10" s="109">
        <f t="shared" si="4"/>
        <v>421.12698683999997</v>
      </c>
      <c r="O10" s="43" t="s">
        <v>1032</v>
      </c>
      <c r="P10" s="51">
        <v>132.19229422000001</v>
      </c>
      <c r="Q10" s="51">
        <f t="shared" si="1"/>
        <v>132.19229422000001</v>
      </c>
      <c r="R10" s="6">
        <v>0.15690000000000001</v>
      </c>
      <c r="S10" s="6">
        <v>0.15690000000000001</v>
      </c>
      <c r="T10" s="51">
        <f t="shared" si="2"/>
        <v>66.09614710999999</v>
      </c>
      <c r="U10" s="51">
        <v>66.09614710999999</v>
      </c>
      <c r="V10" s="51">
        <v>0</v>
      </c>
      <c r="W10" s="48">
        <f t="shared" si="0"/>
        <v>0.49999999999999989</v>
      </c>
      <c r="X10" s="21">
        <v>-0.16608306206762788</v>
      </c>
      <c r="Y10" s="53" t="s">
        <v>321</v>
      </c>
      <c r="Z10" s="53" t="s">
        <v>321</v>
      </c>
      <c r="AB10" s="43" t="s">
        <v>339</v>
      </c>
      <c r="AD10" s="43" t="s">
        <v>340</v>
      </c>
      <c r="AE10" s="43" t="s">
        <v>69</v>
      </c>
      <c r="AF10" s="43" t="s">
        <v>275</v>
      </c>
    </row>
    <row r="11" spans="2:32" x14ac:dyDescent="0.3">
      <c r="B11" s="4">
        <f t="shared" si="3"/>
        <v>8</v>
      </c>
      <c r="C11" s="43" t="s">
        <v>341</v>
      </c>
      <c r="D11" s="43" t="s">
        <v>342</v>
      </c>
      <c r="E11" s="43" t="s">
        <v>81</v>
      </c>
      <c r="F11" s="43" t="s">
        <v>55</v>
      </c>
      <c r="G11" s="47">
        <v>44649</v>
      </c>
      <c r="H11" s="4" t="s">
        <v>32</v>
      </c>
      <c r="I11" s="4" t="s">
        <v>435</v>
      </c>
      <c r="J11" s="125">
        <v>675.00039819999995</v>
      </c>
      <c r="K11" s="125">
        <v>9050.2649999999994</v>
      </c>
      <c r="L11" s="125">
        <f t="shared" ref="L11:L16" si="6">K11</f>
        <v>9050.2649999999994</v>
      </c>
      <c r="M11" s="49">
        <v>0</v>
      </c>
      <c r="N11" s="109">
        <f t="shared" si="4"/>
        <v>9050.2649999999994</v>
      </c>
      <c r="O11" s="43" t="s">
        <v>1116</v>
      </c>
      <c r="P11" s="51">
        <v>591.8101390999999</v>
      </c>
      <c r="Q11" s="51">
        <f t="shared" si="1"/>
        <v>591.8101390999999</v>
      </c>
      <c r="R11" s="6">
        <v>0.1666672944934568</v>
      </c>
      <c r="S11" s="6">
        <v>0.18451970409732396</v>
      </c>
      <c r="T11" s="51">
        <f t="shared" si="2"/>
        <v>1669.9674150000001</v>
      </c>
      <c r="U11" s="51">
        <v>1669.9674150000001</v>
      </c>
      <c r="V11" s="51">
        <v>0</v>
      </c>
      <c r="W11" s="48">
        <f t="shared" si="0"/>
        <v>2.8217958846389766</v>
      </c>
      <c r="X11" s="21">
        <v>0.63824180960655241</v>
      </c>
      <c r="Y11" s="53" t="s">
        <v>321</v>
      </c>
      <c r="Z11" s="53" t="s">
        <v>321</v>
      </c>
      <c r="AA11" s="43" t="s">
        <v>931</v>
      </c>
      <c r="AB11" s="43" t="s">
        <v>1070</v>
      </c>
      <c r="AC11" s="43" t="s">
        <v>944</v>
      </c>
      <c r="AD11" s="43" t="s">
        <v>60</v>
      </c>
      <c r="AE11" s="43" t="s">
        <v>60</v>
      </c>
      <c r="AF11" s="43" t="s">
        <v>275</v>
      </c>
    </row>
    <row r="12" spans="2:32" x14ac:dyDescent="0.3">
      <c r="B12" s="4">
        <f t="shared" si="3"/>
        <v>9</v>
      </c>
      <c r="C12" s="43" t="s">
        <v>343</v>
      </c>
      <c r="D12" s="43" t="s">
        <v>344</v>
      </c>
      <c r="E12" s="43" t="s">
        <v>30</v>
      </c>
      <c r="F12" s="43" t="s">
        <v>55</v>
      </c>
      <c r="G12" s="47">
        <v>44705</v>
      </c>
      <c r="H12" s="4" t="s">
        <v>32</v>
      </c>
      <c r="I12" s="4" t="s">
        <v>364</v>
      </c>
      <c r="J12" s="124">
        <v>750.05719290000002</v>
      </c>
      <c r="K12" s="80">
        <v>750.05719290000002</v>
      </c>
      <c r="L12" s="124">
        <f t="shared" si="6"/>
        <v>750.05719290000002</v>
      </c>
      <c r="M12" s="60">
        <v>1</v>
      </c>
      <c r="N12" s="109">
        <f t="shared" si="4"/>
        <v>0</v>
      </c>
      <c r="O12" s="43" t="s">
        <v>550</v>
      </c>
      <c r="P12" s="51">
        <v>174.75007590000001</v>
      </c>
      <c r="Q12" s="51">
        <f t="shared" si="1"/>
        <v>174.75007590000001</v>
      </c>
      <c r="R12" s="6">
        <v>0.15</v>
      </c>
      <c r="S12" s="6">
        <v>0.19980000000000001</v>
      </c>
      <c r="T12" s="51">
        <f t="shared" si="2"/>
        <v>0</v>
      </c>
      <c r="U12" s="51">
        <v>0</v>
      </c>
      <c r="V12" s="51">
        <v>0</v>
      </c>
      <c r="W12" s="48">
        <f t="shared" si="0"/>
        <v>0</v>
      </c>
      <c r="X12" s="21" t="s">
        <v>49</v>
      </c>
      <c r="Y12" s="53" t="s">
        <v>321</v>
      </c>
      <c r="Z12" s="53" t="s">
        <v>321</v>
      </c>
      <c r="AA12" s="43" t="s">
        <v>947</v>
      </c>
      <c r="AB12" s="43" t="s">
        <v>345</v>
      </c>
      <c r="AC12" s="43" t="s">
        <v>945</v>
      </c>
      <c r="AD12" s="8" t="s">
        <v>60</v>
      </c>
      <c r="AE12" s="43" t="s">
        <v>60</v>
      </c>
      <c r="AF12" s="43" t="s">
        <v>552</v>
      </c>
    </row>
    <row r="13" spans="2:32" x14ac:dyDescent="0.3">
      <c r="B13" s="4">
        <f t="shared" si="3"/>
        <v>10</v>
      </c>
      <c r="C13" s="43" t="s">
        <v>346</v>
      </c>
      <c r="D13" s="43" t="s">
        <v>347</v>
      </c>
      <c r="E13" s="43" t="s">
        <v>348</v>
      </c>
      <c r="F13" s="43" t="s">
        <v>127</v>
      </c>
      <c r="G13" s="47">
        <v>44739</v>
      </c>
      <c r="H13" s="4" t="s">
        <v>32</v>
      </c>
      <c r="I13" s="4" t="s">
        <v>65</v>
      </c>
      <c r="J13" s="80">
        <v>727.30321600000002</v>
      </c>
      <c r="K13" s="124">
        <v>3063.5156606100004</v>
      </c>
      <c r="L13" s="124">
        <f t="shared" si="6"/>
        <v>3063.5156606100004</v>
      </c>
      <c r="M13" s="49">
        <v>0</v>
      </c>
      <c r="N13" s="109">
        <f t="shared" si="4"/>
        <v>3063.5156606100004</v>
      </c>
      <c r="O13" s="43" t="s">
        <v>1117</v>
      </c>
      <c r="P13" s="51">
        <v>284.62816200999998</v>
      </c>
      <c r="Q13" s="51">
        <f t="shared" si="1"/>
        <v>284.62816200999998</v>
      </c>
      <c r="R13" s="6">
        <v>0.15788784067085954</v>
      </c>
      <c r="S13" s="6">
        <v>0.17730000000000001</v>
      </c>
      <c r="T13" s="51">
        <f t="shared" si="2"/>
        <v>543.14031877000002</v>
      </c>
      <c r="U13" s="51">
        <v>543.14031877000002</v>
      </c>
      <c r="V13" s="51">
        <v>0</v>
      </c>
      <c r="W13" s="48">
        <f t="shared" si="0"/>
        <v>1.9082451818345283</v>
      </c>
      <c r="X13" s="21">
        <v>0.36011514067649841</v>
      </c>
      <c r="Y13" s="53" t="s">
        <v>321</v>
      </c>
      <c r="Z13" s="53" t="s">
        <v>321</v>
      </c>
      <c r="AA13" s="43" t="s">
        <v>942</v>
      </c>
      <c r="AB13" s="43" t="s">
        <v>1079</v>
      </c>
      <c r="AC13" s="8"/>
      <c r="AD13" s="8" t="s">
        <v>340</v>
      </c>
      <c r="AE13" s="8" t="s">
        <v>69</v>
      </c>
      <c r="AF13" s="43" t="s">
        <v>275</v>
      </c>
    </row>
    <row r="14" spans="2:32" x14ac:dyDescent="0.3">
      <c r="B14" s="4">
        <f t="shared" si="3"/>
        <v>11</v>
      </c>
      <c r="C14" s="43" t="s">
        <v>349</v>
      </c>
      <c r="D14" s="43" t="s">
        <v>350</v>
      </c>
      <c r="E14" s="43" t="s">
        <v>279</v>
      </c>
      <c r="F14" s="43" t="s">
        <v>351</v>
      </c>
      <c r="G14" s="47">
        <v>44580</v>
      </c>
      <c r="H14" s="4" t="s">
        <v>139</v>
      </c>
      <c r="I14" s="4" t="s">
        <v>65</v>
      </c>
      <c r="J14" s="80">
        <v>995.36004000000003</v>
      </c>
      <c r="K14" s="124">
        <v>6720</v>
      </c>
      <c r="L14" s="124">
        <f t="shared" si="6"/>
        <v>6720</v>
      </c>
      <c r="M14" s="49">
        <v>0</v>
      </c>
      <c r="N14" s="109">
        <f t="shared" si="4"/>
        <v>6720</v>
      </c>
      <c r="O14" s="43" t="s">
        <v>1118</v>
      </c>
      <c r="P14" s="51">
        <v>565.63612000000001</v>
      </c>
      <c r="Q14" s="51">
        <f t="shared" si="1"/>
        <v>565.63612000000001</v>
      </c>
      <c r="R14" s="6">
        <v>6.0279064447875563E-2</v>
      </c>
      <c r="S14" s="6">
        <v>0.1444</v>
      </c>
      <c r="T14" s="51">
        <f t="shared" si="2"/>
        <v>970.28343500000005</v>
      </c>
      <c r="U14" s="51">
        <v>970.28343500000005</v>
      </c>
      <c r="V14" s="51">
        <v>0</v>
      </c>
      <c r="W14" s="48">
        <f t="shared" si="0"/>
        <v>1.7153845037336017</v>
      </c>
      <c r="X14" s="21">
        <v>0.28625952601432803</v>
      </c>
      <c r="Y14" s="53" t="s">
        <v>321</v>
      </c>
      <c r="Z14" s="53" t="s">
        <v>321</v>
      </c>
      <c r="AA14" s="43" t="s">
        <v>927</v>
      </c>
      <c r="AB14" s="43" t="s">
        <v>991</v>
      </c>
      <c r="AC14" s="8"/>
      <c r="AD14" s="8" t="s">
        <v>36</v>
      </c>
      <c r="AE14" s="8" t="s">
        <v>36</v>
      </c>
      <c r="AF14" s="43" t="s">
        <v>275</v>
      </c>
    </row>
    <row r="15" spans="2:32" x14ac:dyDescent="0.3">
      <c r="B15" s="18">
        <f t="shared" si="3"/>
        <v>12</v>
      </c>
      <c r="C15" s="43" t="s">
        <v>352</v>
      </c>
      <c r="D15" s="43" t="s">
        <v>353</v>
      </c>
      <c r="E15" s="43" t="s">
        <v>279</v>
      </c>
      <c r="F15" s="43" t="s">
        <v>293</v>
      </c>
      <c r="G15" s="47">
        <v>44827</v>
      </c>
      <c r="H15" s="4" t="s">
        <v>139</v>
      </c>
      <c r="I15" s="4" t="s">
        <v>139</v>
      </c>
      <c r="J15" s="124">
        <v>1653.5953979999999</v>
      </c>
      <c r="K15" s="124">
        <v>5506.7028999999993</v>
      </c>
      <c r="L15" s="124">
        <f t="shared" si="6"/>
        <v>5506.7028999999993</v>
      </c>
      <c r="M15" s="49">
        <v>0</v>
      </c>
      <c r="N15" s="109">
        <f t="shared" si="4"/>
        <v>5506.7028999999993</v>
      </c>
      <c r="O15" s="43" t="s">
        <v>1119</v>
      </c>
      <c r="P15" s="51">
        <v>397.60947071999999</v>
      </c>
      <c r="Q15" s="51">
        <f t="shared" si="1"/>
        <v>397.60947071999999</v>
      </c>
      <c r="R15" s="6">
        <v>0.16797908288864086</v>
      </c>
      <c r="S15" s="6">
        <v>0.10483766801151861</v>
      </c>
      <c r="T15" s="51">
        <f t="shared" si="2"/>
        <v>707.13359439999988</v>
      </c>
      <c r="U15" s="51">
        <v>707.13359439999988</v>
      </c>
      <c r="V15" s="51">
        <v>0</v>
      </c>
      <c r="W15" s="48">
        <f t="shared" si="0"/>
        <v>1.7784626536171455</v>
      </c>
      <c r="X15" s="21">
        <v>0.28288393616676333</v>
      </c>
      <c r="Y15" s="53" t="s">
        <v>321</v>
      </c>
      <c r="Z15" s="53" t="s">
        <v>321</v>
      </c>
      <c r="AA15" s="43" t="s">
        <v>951</v>
      </c>
      <c r="AB15" s="43" t="s">
        <v>992</v>
      </c>
      <c r="AC15" s="8"/>
      <c r="AD15" s="43" t="s">
        <v>43</v>
      </c>
      <c r="AE15" s="43" t="s">
        <v>43</v>
      </c>
      <c r="AF15" s="43" t="s">
        <v>275</v>
      </c>
    </row>
    <row r="16" spans="2:32" x14ac:dyDescent="0.3">
      <c r="B16" s="4">
        <f t="shared" si="3"/>
        <v>13</v>
      </c>
      <c r="C16" s="43" t="s">
        <v>354</v>
      </c>
      <c r="D16" s="43" t="s">
        <v>355</v>
      </c>
      <c r="E16" s="43" t="s">
        <v>279</v>
      </c>
      <c r="F16" s="43" t="s">
        <v>356</v>
      </c>
      <c r="G16" s="47">
        <v>44834</v>
      </c>
      <c r="H16" s="4" t="s">
        <v>32</v>
      </c>
      <c r="I16" s="4" t="s">
        <v>32</v>
      </c>
      <c r="J16" s="124">
        <v>378.65818200000001</v>
      </c>
      <c r="K16" s="124">
        <v>378.65818200000001</v>
      </c>
      <c r="L16" s="124">
        <f t="shared" si="6"/>
        <v>378.65818200000001</v>
      </c>
      <c r="M16" s="60">
        <v>1</v>
      </c>
      <c r="N16" s="109">
        <f t="shared" ref="N16" si="7">L16*(1-M16)</f>
        <v>0</v>
      </c>
      <c r="O16" s="43" t="s">
        <v>550</v>
      </c>
      <c r="P16" s="51">
        <v>50.000111000000004</v>
      </c>
      <c r="Q16" s="51">
        <f t="shared" si="1"/>
        <v>50.000111000000004</v>
      </c>
      <c r="R16" s="6">
        <v>0.11602590284049794</v>
      </c>
      <c r="S16" s="6">
        <v>0.13200000000000001</v>
      </c>
      <c r="T16" s="51">
        <f t="shared" si="2"/>
        <v>0</v>
      </c>
      <c r="U16" s="51">
        <v>0</v>
      </c>
      <c r="V16" s="51">
        <v>0</v>
      </c>
      <c r="W16" s="48">
        <f t="shared" si="0"/>
        <v>0</v>
      </c>
      <c r="X16" s="21" t="s">
        <v>49</v>
      </c>
      <c r="Y16" s="53" t="s">
        <v>321</v>
      </c>
      <c r="Z16" s="53" t="s">
        <v>321</v>
      </c>
      <c r="AA16" s="43" t="s">
        <v>933</v>
      </c>
      <c r="AB16" s="43" t="s">
        <v>357</v>
      </c>
      <c r="AC16" s="43" t="s">
        <v>486</v>
      </c>
      <c r="AD16" s="43" t="s">
        <v>145</v>
      </c>
      <c r="AE16" s="43" t="s">
        <v>145</v>
      </c>
      <c r="AF16" s="43" t="s">
        <v>552</v>
      </c>
    </row>
    <row r="17" spans="2:32" x14ac:dyDescent="0.3">
      <c r="B17" s="4">
        <f t="shared" si="3"/>
        <v>14</v>
      </c>
      <c r="C17" s="43" t="s">
        <v>358</v>
      </c>
      <c r="D17" s="43" t="s">
        <v>359</v>
      </c>
      <c r="E17" s="43" t="s">
        <v>279</v>
      </c>
      <c r="F17" s="43" t="s">
        <v>31</v>
      </c>
      <c r="G17" s="47">
        <v>44928</v>
      </c>
      <c r="H17" s="4" t="s">
        <v>360</v>
      </c>
      <c r="I17" s="4" t="s">
        <v>111</v>
      </c>
      <c r="J17" s="125">
        <v>2283.9630259999999</v>
      </c>
      <c r="K17" s="125">
        <v>5756.5408319999997</v>
      </c>
      <c r="L17" s="125">
        <f>K17</f>
        <v>5756.5408319999997</v>
      </c>
      <c r="M17" s="60">
        <v>0.37531234382808598</v>
      </c>
      <c r="N17" s="109">
        <f t="shared" si="4"/>
        <v>3596.0399999999995</v>
      </c>
      <c r="O17" s="43" t="s">
        <v>1120</v>
      </c>
      <c r="P17" s="51">
        <v>594.40773264999996</v>
      </c>
      <c r="Q17" s="51">
        <f t="shared" si="1"/>
        <v>594.40773264999996</v>
      </c>
      <c r="R17" s="6">
        <v>8.975878622651573E-2</v>
      </c>
      <c r="S17" s="6">
        <v>0.16159999999999999</v>
      </c>
      <c r="T17" s="51">
        <f t="shared" si="2"/>
        <v>684.4409280000001</v>
      </c>
      <c r="U17" s="51">
        <v>684.4409280000001</v>
      </c>
      <c r="V17" s="51">
        <v>0</v>
      </c>
      <c r="W17" s="48">
        <f t="shared" si="0"/>
        <v>1.1514670661308735</v>
      </c>
      <c r="X17" s="21">
        <v>8.4320423007011411E-2</v>
      </c>
      <c r="Y17" s="53" t="s">
        <v>321</v>
      </c>
      <c r="Z17" s="53" t="s">
        <v>321</v>
      </c>
      <c r="AA17" s="43" t="s">
        <v>934</v>
      </c>
      <c r="AB17" s="118" t="s">
        <v>1091</v>
      </c>
      <c r="AD17" s="43" t="s">
        <v>145</v>
      </c>
      <c r="AE17" s="43" t="s">
        <v>145</v>
      </c>
      <c r="AF17" s="43" t="s">
        <v>275</v>
      </c>
    </row>
    <row r="18" spans="2:32" x14ac:dyDescent="0.3">
      <c r="B18" s="4">
        <f t="shared" si="3"/>
        <v>15</v>
      </c>
      <c r="C18" s="43" t="s">
        <v>361</v>
      </c>
      <c r="D18" s="43" t="s">
        <v>362</v>
      </c>
      <c r="E18" s="43" t="s">
        <v>279</v>
      </c>
      <c r="F18" s="43" t="s">
        <v>363</v>
      </c>
      <c r="G18" s="47">
        <v>44617</v>
      </c>
      <c r="H18" s="4" t="s">
        <v>32</v>
      </c>
      <c r="I18" s="4" t="s">
        <v>364</v>
      </c>
      <c r="J18" s="124">
        <v>797.50002600000005</v>
      </c>
      <c r="K18" s="125">
        <v>101</v>
      </c>
      <c r="L18" s="125">
        <f>K18</f>
        <v>101</v>
      </c>
      <c r="M18" s="60">
        <v>1</v>
      </c>
      <c r="N18" s="109">
        <f t="shared" si="4"/>
        <v>0</v>
      </c>
      <c r="O18" s="43" t="s">
        <v>550</v>
      </c>
      <c r="P18" s="51">
        <v>171.19223399999998</v>
      </c>
      <c r="Q18" s="51">
        <f t="shared" si="1"/>
        <v>171.19223399999998</v>
      </c>
      <c r="R18" s="6">
        <v>6.042190147840823E-2</v>
      </c>
      <c r="S18" s="6">
        <v>0.22025990522253164</v>
      </c>
      <c r="T18" s="51">
        <f t="shared" si="2"/>
        <v>0</v>
      </c>
      <c r="U18" s="51">
        <v>0</v>
      </c>
      <c r="V18" s="51">
        <v>0</v>
      </c>
      <c r="W18" s="48">
        <f t="shared" si="0"/>
        <v>0</v>
      </c>
      <c r="X18" s="21" t="s">
        <v>49</v>
      </c>
      <c r="Y18" s="53" t="s">
        <v>321</v>
      </c>
      <c r="Z18" s="53" t="s">
        <v>321</v>
      </c>
      <c r="AA18" s="43" t="s">
        <v>935</v>
      </c>
      <c r="AB18" s="43" t="s">
        <v>365</v>
      </c>
      <c r="AC18" s="43" t="s">
        <v>35</v>
      </c>
      <c r="AD18" s="43" t="s">
        <v>145</v>
      </c>
      <c r="AE18" s="43" t="s">
        <v>145</v>
      </c>
      <c r="AF18" s="43" t="s">
        <v>552</v>
      </c>
    </row>
    <row r="19" spans="2:32" x14ac:dyDescent="0.3">
      <c r="B19" s="4">
        <f t="shared" si="3"/>
        <v>16</v>
      </c>
      <c r="C19" s="43" t="s">
        <v>366</v>
      </c>
      <c r="D19" s="43" t="s">
        <v>367</v>
      </c>
      <c r="E19" s="43" t="s">
        <v>81</v>
      </c>
      <c r="F19" s="43" t="s">
        <v>356</v>
      </c>
      <c r="G19" s="47">
        <v>45036</v>
      </c>
      <c r="H19" s="4" t="s">
        <v>32</v>
      </c>
      <c r="I19" s="4" t="s">
        <v>56</v>
      </c>
      <c r="J19" s="125">
        <v>1020.02512</v>
      </c>
      <c r="K19" s="125">
        <v>2295.32278</v>
      </c>
      <c r="L19" s="49">
        <v>0</v>
      </c>
      <c r="M19" s="60">
        <v>1</v>
      </c>
      <c r="N19" s="109">
        <f t="shared" si="4"/>
        <v>0</v>
      </c>
      <c r="O19" s="43" t="s">
        <v>550</v>
      </c>
      <c r="P19" s="51">
        <v>265.00049799999999</v>
      </c>
      <c r="Q19" s="51">
        <f t="shared" si="1"/>
        <v>265.00049799999999</v>
      </c>
      <c r="R19" s="6">
        <v>0.13730000000000001</v>
      </c>
      <c r="S19" s="6">
        <v>0.1734</v>
      </c>
      <c r="T19" s="51">
        <f t="shared" si="2"/>
        <v>0</v>
      </c>
      <c r="U19" s="51">
        <v>0</v>
      </c>
      <c r="V19" s="51">
        <v>0</v>
      </c>
      <c r="W19" s="48">
        <f t="shared" si="0"/>
        <v>0</v>
      </c>
      <c r="X19" s="21" t="s">
        <v>49</v>
      </c>
      <c r="Y19" s="53" t="s">
        <v>321</v>
      </c>
      <c r="Z19" s="53" t="s">
        <v>321</v>
      </c>
      <c r="AA19" s="43" t="s">
        <v>934</v>
      </c>
      <c r="AB19" s="43" t="s">
        <v>368</v>
      </c>
      <c r="AC19" s="43" t="s">
        <v>35</v>
      </c>
      <c r="AD19" s="43" t="s">
        <v>145</v>
      </c>
      <c r="AE19" s="43" t="s">
        <v>145</v>
      </c>
      <c r="AF19" s="43" t="s">
        <v>275</v>
      </c>
    </row>
    <row r="20" spans="2:32" x14ac:dyDescent="0.3">
      <c r="B20" s="4">
        <f t="shared" si="3"/>
        <v>17</v>
      </c>
      <c r="C20" s="43" t="s">
        <v>369</v>
      </c>
      <c r="D20" s="43" t="s">
        <v>370</v>
      </c>
      <c r="E20" s="43" t="s">
        <v>30</v>
      </c>
      <c r="F20" s="43" t="s">
        <v>127</v>
      </c>
      <c r="G20" s="47">
        <v>45092</v>
      </c>
      <c r="H20" s="4" t="s">
        <v>121</v>
      </c>
      <c r="I20" s="4" t="s">
        <v>121</v>
      </c>
      <c r="J20" s="80" t="s">
        <v>49</v>
      </c>
      <c r="K20" s="80" t="s">
        <v>49</v>
      </c>
      <c r="L20" s="80" t="s">
        <v>49</v>
      </c>
      <c r="M20" s="49">
        <v>0</v>
      </c>
      <c r="N20" s="109" t="s">
        <v>49</v>
      </c>
      <c r="O20" s="43" t="s">
        <v>104</v>
      </c>
      <c r="P20" s="51">
        <v>41</v>
      </c>
      <c r="Q20" s="51">
        <f t="shared" si="1"/>
        <v>41</v>
      </c>
      <c r="R20" s="6" t="s">
        <v>49</v>
      </c>
      <c r="S20" s="6" t="s">
        <v>49</v>
      </c>
      <c r="T20" s="51">
        <f t="shared" si="2"/>
        <v>41</v>
      </c>
      <c r="U20" s="51">
        <v>41</v>
      </c>
      <c r="V20" s="51">
        <v>0</v>
      </c>
      <c r="W20" s="48">
        <f t="shared" si="0"/>
        <v>1</v>
      </c>
      <c r="X20" s="21" t="s">
        <v>49</v>
      </c>
      <c r="Y20" s="53" t="s">
        <v>321</v>
      </c>
      <c r="Z20" s="53" t="s">
        <v>321</v>
      </c>
      <c r="AA20" s="43" t="s">
        <v>936</v>
      </c>
      <c r="AB20" s="43" t="s">
        <v>371</v>
      </c>
      <c r="AC20" s="43" t="s">
        <v>939</v>
      </c>
      <c r="AD20" s="8" t="s">
        <v>145</v>
      </c>
      <c r="AE20" s="43" t="s">
        <v>145</v>
      </c>
      <c r="AF20" s="43" t="s">
        <v>275</v>
      </c>
    </row>
    <row r="21" spans="2:32" x14ac:dyDescent="0.3">
      <c r="B21" s="4">
        <f t="shared" si="3"/>
        <v>18</v>
      </c>
      <c r="C21" s="43" t="s">
        <v>372</v>
      </c>
      <c r="D21" s="43" t="s">
        <v>373</v>
      </c>
      <c r="E21" s="43" t="s">
        <v>30</v>
      </c>
      <c r="F21" s="43" t="s">
        <v>93</v>
      </c>
      <c r="G21" s="47">
        <v>45041</v>
      </c>
      <c r="H21" s="4" t="s">
        <v>32</v>
      </c>
      <c r="I21" s="4" t="s">
        <v>374</v>
      </c>
      <c r="J21" s="80">
        <v>494.47248038999993</v>
      </c>
      <c r="K21" s="124">
        <v>1286.0246000000002</v>
      </c>
      <c r="L21" s="124">
        <v>0</v>
      </c>
      <c r="M21" s="49">
        <v>0</v>
      </c>
      <c r="N21" s="109">
        <f t="shared" si="4"/>
        <v>0</v>
      </c>
      <c r="O21" s="43" t="s">
        <v>104</v>
      </c>
      <c r="P21" s="51">
        <v>209.34651044999998</v>
      </c>
      <c r="Q21" s="51">
        <f t="shared" si="1"/>
        <v>209.34651044999998</v>
      </c>
      <c r="R21" s="6">
        <v>4.9998739951110101E-2</v>
      </c>
      <c r="S21" s="6">
        <v>0.19249407155376844</v>
      </c>
      <c r="T21" s="51">
        <f t="shared" si="2"/>
        <v>209.34651141125499</v>
      </c>
      <c r="U21" s="51">
        <v>209.34651141125499</v>
      </c>
      <c r="V21" s="51">
        <v>0</v>
      </c>
      <c r="W21" s="48">
        <f t="shared" si="0"/>
        <v>1.0000000045916935</v>
      </c>
      <c r="X21" s="21" t="s">
        <v>49</v>
      </c>
      <c r="Y21" s="53" t="s">
        <v>321</v>
      </c>
      <c r="Z21" s="53" t="s">
        <v>321</v>
      </c>
      <c r="AA21" s="43" t="s">
        <v>931</v>
      </c>
      <c r="AB21" s="43" t="s">
        <v>375</v>
      </c>
      <c r="AC21" s="8"/>
      <c r="AD21" s="8" t="s">
        <v>43</v>
      </c>
      <c r="AE21" s="8" t="s">
        <v>43</v>
      </c>
      <c r="AF21" s="43" t="s">
        <v>275</v>
      </c>
    </row>
    <row r="22" spans="2:32" x14ac:dyDescent="0.3">
      <c r="B22" s="4">
        <f t="shared" si="3"/>
        <v>19</v>
      </c>
      <c r="C22" s="43" t="s">
        <v>376</v>
      </c>
      <c r="D22" s="43" t="s">
        <v>377</v>
      </c>
      <c r="E22" s="43" t="s">
        <v>92</v>
      </c>
      <c r="F22" s="43" t="s">
        <v>127</v>
      </c>
      <c r="G22" s="47">
        <v>44915</v>
      </c>
      <c r="H22" s="4" t="s">
        <v>32</v>
      </c>
      <c r="I22" s="4" t="s">
        <v>65</v>
      </c>
      <c r="J22" s="80">
        <v>3699.9235911312767</v>
      </c>
      <c r="K22" s="124">
        <v>9983.4503999999997</v>
      </c>
      <c r="L22" s="124">
        <f t="shared" ref="L22:L28" si="8">K22</f>
        <v>9983.4503999999997</v>
      </c>
      <c r="M22" s="49">
        <v>0</v>
      </c>
      <c r="N22" s="109">
        <f t="shared" si="4"/>
        <v>9983.4503999999997</v>
      </c>
      <c r="O22" s="43" t="s">
        <v>1003</v>
      </c>
      <c r="P22" s="51">
        <v>828.68822723999995</v>
      </c>
      <c r="Q22" s="51">
        <f t="shared" si="1"/>
        <v>828.68822723999995</v>
      </c>
      <c r="R22" s="6">
        <v>0.11</v>
      </c>
      <c r="S22" s="6">
        <v>0.10249999999999999</v>
      </c>
      <c r="T22" s="51">
        <f t="shared" si="2"/>
        <v>1242.7673163457903</v>
      </c>
      <c r="U22" s="51">
        <v>1242.7673163457903</v>
      </c>
      <c r="V22" s="51">
        <v>0</v>
      </c>
      <c r="W22" s="48">
        <f t="shared" si="0"/>
        <v>1.4996801879096409</v>
      </c>
      <c r="X22" s="21">
        <v>0.22911981940269474</v>
      </c>
      <c r="Y22" s="53" t="s">
        <v>321</v>
      </c>
      <c r="Z22" s="53" t="s">
        <v>321</v>
      </c>
      <c r="AA22" s="43" t="s">
        <v>942</v>
      </c>
      <c r="AB22" s="8" t="s">
        <v>1004</v>
      </c>
      <c r="AC22" s="43" t="s">
        <v>941</v>
      </c>
      <c r="AD22" s="8" t="s">
        <v>69</v>
      </c>
      <c r="AE22" s="8" t="s">
        <v>69</v>
      </c>
      <c r="AF22" s="43" t="s">
        <v>275</v>
      </c>
    </row>
    <row r="23" spans="2:32" x14ac:dyDescent="0.3">
      <c r="B23" s="4">
        <f t="shared" si="3"/>
        <v>20</v>
      </c>
      <c r="C23" s="43" t="s">
        <v>378</v>
      </c>
      <c r="D23" s="43" t="s">
        <v>379</v>
      </c>
      <c r="E23" s="43" t="s">
        <v>30</v>
      </c>
      <c r="F23" s="43" t="s">
        <v>55</v>
      </c>
      <c r="G23" s="47">
        <v>45173</v>
      </c>
      <c r="H23" s="4" t="s">
        <v>32</v>
      </c>
      <c r="I23" s="4" t="s">
        <v>139</v>
      </c>
      <c r="J23" s="124">
        <v>879.89970800000003</v>
      </c>
      <c r="K23" s="124">
        <v>1511.33296</v>
      </c>
      <c r="L23" s="124">
        <f t="shared" si="8"/>
        <v>1511.33296</v>
      </c>
      <c r="M23" s="49">
        <v>0</v>
      </c>
      <c r="N23" s="109">
        <f t="shared" si="4"/>
        <v>1511.33296</v>
      </c>
      <c r="O23" s="43" t="s">
        <v>104</v>
      </c>
      <c r="P23" s="51">
        <v>231.64291800000001</v>
      </c>
      <c r="Q23" s="51">
        <f t="shared" si="1"/>
        <v>231.64291800000001</v>
      </c>
      <c r="R23" s="6">
        <v>0.16670333296667034</v>
      </c>
      <c r="S23" s="6">
        <v>0.18909999999999999</v>
      </c>
      <c r="T23" s="51">
        <f t="shared" si="2"/>
        <v>231.64291800000001</v>
      </c>
      <c r="U23" s="51">
        <v>231.64291800000001</v>
      </c>
      <c r="V23" s="51">
        <v>0</v>
      </c>
      <c r="W23" s="48">
        <f t="shared" si="0"/>
        <v>1</v>
      </c>
      <c r="X23" s="21" t="s">
        <v>49</v>
      </c>
      <c r="Y23" s="53" t="s">
        <v>321</v>
      </c>
      <c r="Z23" s="53" t="s">
        <v>321</v>
      </c>
      <c r="AA23" s="43" t="s">
        <v>948</v>
      </c>
      <c r="AB23" s="43" t="s">
        <v>1092</v>
      </c>
      <c r="AC23" s="8" t="s">
        <v>941</v>
      </c>
      <c r="AD23" s="43" t="s">
        <v>60</v>
      </c>
      <c r="AE23" s="43" t="s">
        <v>60</v>
      </c>
      <c r="AF23" s="43" t="s">
        <v>275</v>
      </c>
    </row>
    <row r="24" spans="2:32" x14ac:dyDescent="0.3">
      <c r="B24" s="4">
        <f t="shared" si="3"/>
        <v>21</v>
      </c>
      <c r="C24" s="43" t="s">
        <v>380</v>
      </c>
      <c r="D24" s="43" t="s">
        <v>381</v>
      </c>
      <c r="E24" s="43" t="s">
        <v>30</v>
      </c>
      <c r="F24" s="43" t="s">
        <v>356</v>
      </c>
      <c r="G24" s="47">
        <v>45182</v>
      </c>
      <c r="H24" s="4" t="s">
        <v>139</v>
      </c>
      <c r="I24" s="4" t="s">
        <v>139</v>
      </c>
      <c r="J24" s="124">
        <v>3422.3749120000002</v>
      </c>
      <c r="K24" s="124">
        <v>3422.3749120000002</v>
      </c>
      <c r="L24" s="124">
        <f t="shared" si="8"/>
        <v>3422.3749120000002</v>
      </c>
      <c r="M24" s="49">
        <v>0</v>
      </c>
      <c r="N24" s="109">
        <f t="shared" si="4"/>
        <v>3422.3749120000002</v>
      </c>
      <c r="O24" s="43" t="s">
        <v>104</v>
      </c>
      <c r="P24" s="51">
        <v>342.17216000000002</v>
      </c>
      <c r="Q24" s="51">
        <f t="shared" si="1"/>
        <v>342.17216000000002</v>
      </c>
      <c r="R24" s="6">
        <v>9.9980910566001724E-2</v>
      </c>
      <c r="S24" s="6">
        <v>9.9980910566001724E-2</v>
      </c>
      <c r="T24" s="51">
        <f t="shared" si="2"/>
        <v>342.17216000000002</v>
      </c>
      <c r="U24" s="51">
        <v>342.17216000000002</v>
      </c>
      <c r="V24" s="51">
        <v>0</v>
      </c>
      <c r="W24" s="48">
        <f t="shared" si="0"/>
        <v>1</v>
      </c>
      <c r="X24" s="21" t="s">
        <v>49</v>
      </c>
      <c r="Y24" s="53" t="s">
        <v>321</v>
      </c>
      <c r="Z24" s="53" t="s">
        <v>321</v>
      </c>
      <c r="AA24" s="43" t="s">
        <v>928</v>
      </c>
      <c r="AB24" s="43" t="s">
        <v>382</v>
      </c>
      <c r="AD24" s="43" t="s">
        <v>36</v>
      </c>
      <c r="AE24" s="43" t="s">
        <v>36</v>
      </c>
      <c r="AF24" s="43" t="s">
        <v>275</v>
      </c>
    </row>
    <row r="25" spans="2:32" x14ac:dyDescent="0.3">
      <c r="B25" s="4">
        <f t="shared" si="3"/>
        <v>22</v>
      </c>
      <c r="C25" s="43" t="s">
        <v>383</v>
      </c>
      <c r="D25" s="43" t="s">
        <v>384</v>
      </c>
      <c r="E25" s="43" t="s">
        <v>30</v>
      </c>
      <c r="F25" s="43" t="s">
        <v>55</v>
      </c>
      <c r="G25" s="47">
        <v>45175</v>
      </c>
      <c r="H25" s="4" t="s">
        <v>32</v>
      </c>
      <c r="I25" s="4" t="s">
        <v>65</v>
      </c>
      <c r="J25" s="125">
        <v>1146.7130219999999</v>
      </c>
      <c r="K25" s="125">
        <v>2081.036004</v>
      </c>
      <c r="L25" s="125">
        <f t="shared" si="8"/>
        <v>2081.036004</v>
      </c>
      <c r="M25" s="49">
        <v>0</v>
      </c>
      <c r="N25" s="109">
        <f t="shared" si="4"/>
        <v>2081.036004</v>
      </c>
      <c r="O25" s="43" t="s">
        <v>1030</v>
      </c>
      <c r="P25" s="51">
        <v>353.99073600000003</v>
      </c>
      <c r="Q25" s="51">
        <f t="shared" si="1"/>
        <v>353.99073600000003</v>
      </c>
      <c r="R25" s="6">
        <v>0.15696874505363384</v>
      </c>
      <c r="S25" s="6">
        <v>0.18700932572836801</v>
      </c>
      <c r="T25" s="51">
        <f t="shared" si="2"/>
        <v>514.81132000000002</v>
      </c>
      <c r="U25" s="51">
        <v>514.81132000000002</v>
      </c>
      <c r="V25" s="51">
        <v>0</v>
      </c>
      <c r="W25" s="48">
        <f t="shared" si="0"/>
        <v>1.4543073240199145</v>
      </c>
      <c r="X25" s="21">
        <v>0.27177105545997626</v>
      </c>
      <c r="Y25" s="53" t="s">
        <v>321</v>
      </c>
      <c r="Z25" s="53" t="s">
        <v>321</v>
      </c>
      <c r="AA25" s="43" t="s">
        <v>937</v>
      </c>
      <c r="AB25" s="43" t="s">
        <v>1093</v>
      </c>
      <c r="AC25" s="43" t="s">
        <v>940</v>
      </c>
      <c r="AD25" s="43" t="s">
        <v>145</v>
      </c>
      <c r="AE25" s="43" t="s">
        <v>145</v>
      </c>
      <c r="AF25" s="43" t="s">
        <v>275</v>
      </c>
    </row>
    <row r="26" spans="2:32" x14ac:dyDescent="0.3">
      <c r="B26" s="4">
        <f t="shared" si="3"/>
        <v>23</v>
      </c>
      <c r="C26" s="43" t="s">
        <v>385</v>
      </c>
      <c r="D26" s="43" t="s">
        <v>386</v>
      </c>
      <c r="E26" s="43" t="s">
        <v>30</v>
      </c>
      <c r="F26" s="43" t="s">
        <v>356</v>
      </c>
      <c r="G26" s="47">
        <v>45282</v>
      </c>
      <c r="H26" s="4" t="s">
        <v>65</v>
      </c>
      <c r="I26" s="4" t="s">
        <v>111</v>
      </c>
      <c r="J26" s="80">
        <v>1979.9984440000001</v>
      </c>
      <c r="K26" s="125">
        <v>4750</v>
      </c>
      <c r="L26" s="125">
        <f t="shared" si="8"/>
        <v>4750</v>
      </c>
      <c r="M26" s="49">
        <v>0</v>
      </c>
      <c r="N26" s="109">
        <f t="shared" si="4"/>
        <v>4750</v>
      </c>
      <c r="O26" s="43" t="s">
        <v>1121</v>
      </c>
      <c r="P26" s="51">
        <v>399.957313</v>
      </c>
      <c r="Q26" s="51">
        <f t="shared" si="1"/>
        <v>399.957313</v>
      </c>
      <c r="R26" s="6">
        <v>0.10100000000000001</v>
      </c>
      <c r="S26" s="6">
        <v>0.12156713164777699</v>
      </c>
      <c r="T26" s="51">
        <f t="shared" si="2"/>
        <v>577.43634399999996</v>
      </c>
      <c r="U26" s="51">
        <v>577.43634399999996</v>
      </c>
      <c r="V26" s="51">
        <v>0</v>
      </c>
      <c r="W26" s="48">
        <f t="shared" si="0"/>
        <v>1.4437449328498713</v>
      </c>
      <c r="X26" s="21">
        <v>0.3497703731060029</v>
      </c>
      <c r="Y26" s="53" t="s">
        <v>321</v>
      </c>
      <c r="Z26" s="53" t="s">
        <v>321</v>
      </c>
      <c r="AA26" s="43" t="s">
        <v>929</v>
      </c>
      <c r="AB26" s="43" t="s">
        <v>1034</v>
      </c>
      <c r="AD26" s="43" t="s">
        <v>36</v>
      </c>
      <c r="AE26" s="43" t="s">
        <v>36</v>
      </c>
      <c r="AF26" s="43" t="s">
        <v>275</v>
      </c>
    </row>
    <row r="27" spans="2:32" x14ac:dyDescent="0.3">
      <c r="B27" s="4">
        <f t="shared" si="3"/>
        <v>24</v>
      </c>
      <c r="C27" s="43" t="s">
        <v>1076</v>
      </c>
      <c r="D27" s="43" t="s">
        <v>387</v>
      </c>
      <c r="E27" s="43" t="s">
        <v>92</v>
      </c>
      <c r="F27" s="43" t="s">
        <v>31</v>
      </c>
      <c r="G27" s="47">
        <v>45324</v>
      </c>
      <c r="H27" s="4" t="s">
        <v>65</v>
      </c>
      <c r="I27" s="4" t="s">
        <v>65</v>
      </c>
      <c r="J27" s="125">
        <v>12880.979112113147</v>
      </c>
      <c r="K27" s="125">
        <v>17198.50070536754</v>
      </c>
      <c r="L27" s="125">
        <f t="shared" si="8"/>
        <v>17198.50070536754</v>
      </c>
      <c r="M27" s="49">
        <v>0</v>
      </c>
      <c r="N27" s="109">
        <f t="shared" si="4"/>
        <v>17198.50070536754</v>
      </c>
      <c r="O27" s="43" t="s">
        <v>104</v>
      </c>
      <c r="P27" s="51">
        <v>860.83999484000003</v>
      </c>
      <c r="Q27" s="51">
        <f t="shared" si="1"/>
        <v>860.83999484000003</v>
      </c>
      <c r="R27" s="6">
        <v>6.3600000000000004E-2</v>
      </c>
      <c r="S27" s="6">
        <v>6.3600000000000004E-2</v>
      </c>
      <c r="T27" s="51">
        <f t="shared" si="2"/>
        <v>899.19799460481204</v>
      </c>
      <c r="U27" s="51">
        <v>899.19799460481204</v>
      </c>
      <c r="V27" s="51">
        <v>0</v>
      </c>
      <c r="W27" s="48">
        <f t="shared" si="0"/>
        <v>1.0445588030234834</v>
      </c>
      <c r="X27" s="21" t="s">
        <v>49</v>
      </c>
      <c r="Y27" s="53" t="s">
        <v>321</v>
      </c>
      <c r="Z27" s="53" t="s">
        <v>321</v>
      </c>
      <c r="AA27" s="43" t="s">
        <v>930</v>
      </c>
      <c r="AD27" s="43" t="s">
        <v>36</v>
      </c>
      <c r="AE27" s="43" t="s">
        <v>36</v>
      </c>
      <c r="AF27" s="43" t="s">
        <v>275</v>
      </c>
    </row>
    <row r="28" spans="2:32" x14ac:dyDescent="0.3">
      <c r="B28" s="4">
        <f t="shared" si="3"/>
        <v>25</v>
      </c>
      <c r="C28" s="43" t="s">
        <v>388</v>
      </c>
      <c r="D28" s="43" t="s">
        <v>389</v>
      </c>
      <c r="E28" s="43" t="s">
        <v>30</v>
      </c>
      <c r="F28" s="43" t="s">
        <v>55</v>
      </c>
      <c r="G28" s="47">
        <v>45355</v>
      </c>
      <c r="H28" s="4" t="s">
        <v>32</v>
      </c>
      <c r="I28" s="4" t="s">
        <v>32</v>
      </c>
      <c r="J28" s="124">
        <v>2172.1031720000001</v>
      </c>
      <c r="K28" s="124">
        <v>4999.9918479999997</v>
      </c>
      <c r="L28" s="125">
        <f t="shared" si="8"/>
        <v>4999.9918479999997</v>
      </c>
      <c r="M28" s="49">
        <v>0</v>
      </c>
      <c r="N28" s="109">
        <f t="shared" si="4"/>
        <v>4999.9918479999997</v>
      </c>
      <c r="O28" s="43" t="s">
        <v>104</v>
      </c>
      <c r="P28" s="51">
        <v>807.99221799999998</v>
      </c>
      <c r="Q28" s="51">
        <f t="shared" si="1"/>
        <v>807.99221799999998</v>
      </c>
      <c r="R28" s="6">
        <v>0.14180000000000001</v>
      </c>
      <c r="S28" s="6">
        <v>0.14180000000000001</v>
      </c>
      <c r="T28" s="51">
        <f t="shared" si="2"/>
        <v>807.99221799999998</v>
      </c>
      <c r="U28" s="51">
        <v>807.99221799999998</v>
      </c>
      <c r="V28" s="51">
        <v>0</v>
      </c>
      <c r="W28" s="48">
        <f t="shared" si="0"/>
        <v>1</v>
      </c>
      <c r="X28" s="21" t="s">
        <v>49</v>
      </c>
      <c r="Y28" s="53" t="s">
        <v>321</v>
      </c>
      <c r="Z28" s="53" t="s">
        <v>321</v>
      </c>
      <c r="AA28" s="43" t="s">
        <v>931</v>
      </c>
      <c r="AB28" s="43" t="s">
        <v>390</v>
      </c>
      <c r="AC28" s="43" t="s">
        <v>946</v>
      </c>
      <c r="AD28" s="8" t="s">
        <v>60</v>
      </c>
      <c r="AE28" s="43" t="s">
        <v>60</v>
      </c>
      <c r="AF28" s="43" t="s">
        <v>275</v>
      </c>
    </row>
    <row r="29" spans="2:32" x14ac:dyDescent="0.3">
      <c r="B29" s="4">
        <f t="shared" si="3"/>
        <v>26</v>
      </c>
      <c r="C29" s="43" t="s">
        <v>391</v>
      </c>
      <c r="D29" s="43" t="s">
        <v>392</v>
      </c>
      <c r="E29" s="43" t="s">
        <v>92</v>
      </c>
      <c r="F29" s="43" t="s">
        <v>127</v>
      </c>
      <c r="G29" s="47">
        <v>45358</v>
      </c>
      <c r="H29" s="4" t="s">
        <v>32</v>
      </c>
      <c r="I29" s="4" t="s">
        <v>32</v>
      </c>
      <c r="J29" s="80">
        <v>2068.7249999999999</v>
      </c>
      <c r="K29" s="124">
        <v>2068.7249999999999</v>
      </c>
      <c r="L29" s="124">
        <f>K29</f>
        <v>2068.7249999999999</v>
      </c>
      <c r="M29" s="49">
        <v>0</v>
      </c>
      <c r="N29" s="109">
        <f t="shared" si="4"/>
        <v>2068.7249999999999</v>
      </c>
      <c r="O29" s="43" t="s">
        <v>104</v>
      </c>
      <c r="P29" s="51">
        <v>206.87479808999998</v>
      </c>
      <c r="Q29" s="51">
        <f t="shared" si="1"/>
        <v>206.87479808999998</v>
      </c>
      <c r="R29" s="6">
        <v>0.1</v>
      </c>
      <c r="S29" s="6">
        <v>0.1</v>
      </c>
      <c r="T29" s="51">
        <f t="shared" si="2"/>
        <v>224.7992797324579</v>
      </c>
      <c r="U29" s="51">
        <v>224.7992797324579</v>
      </c>
      <c r="V29" s="51">
        <v>0</v>
      </c>
      <c r="W29" s="48">
        <f t="shared" si="0"/>
        <v>1.0866441045886119</v>
      </c>
      <c r="X29" s="21">
        <v>4.6735998988151548E-2</v>
      </c>
      <c r="Y29" s="53" t="s">
        <v>321</v>
      </c>
      <c r="Z29" s="53" t="s">
        <v>321</v>
      </c>
      <c r="AA29" s="43" t="s">
        <v>965</v>
      </c>
      <c r="AB29" s="43" t="s">
        <v>393</v>
      </c>
      <c r="AC29" s="8"/>
      <c r="AD29" s="8" t="s">
        <v>69</v>
      </c>
      <c r="AE29" s="8" t="s">
        <v>69</v>
      </c>
      <c r="AF29" s="43" t="s">
        <v>275</v>
      </c>
    </row>
    <row r="30" spans="2:32" x14ac:dyDescent="0.3">
      <c r="B30" s="4">
        <f t="shared" si="3"/>
        <v>27</v>
      </c>
      <c r="C30" s="43" t="s">
        <v>1077</v>
      </c>
      <c r="D30" s="43" t="s">
        <v>394</v>
      </c>
      <c r="E30" s="43" t="s">
        <v>30</v>
      </c>
      <c r="F30" s="43" t="s">
        <v>127</v>
      </c>
      <c r="G30" s="47">
        <v>45363</v>
      </c>
      <c r="H30" s="4" t="s">
        <v>139</v>
      </c>
      <c r="I30" s="4" t="s">
        <v>139</v>
      </c>
      <c r="J30" s="80">
        <v>651.78140399999995</v>
      </c>
      <c r="K30" s="124">
        <v>651.78140399999995</v>
      </c>
      <c r="L30" s="125">
        <f t="shared" ref="L30:L32" si="9">K30</f>
        <v>651.78140399999995</v>
      </c>
      <c r="M30" s="49">
        <v>0</v>
      </c>
      <c r="N30" s="109">
        <f t="shared" si="4"/>
        <v>651.78140399999995</v>
      </c>
      <c r="O30" s="43" t="s">
        <v>104</v>
      </c>
      <c r="P30" s="51">
        <v>123.31672499999999</v>
      </c>
      <c r="Q30" s="51">
        <f t="shared" si="1"/>
        <v>123.31672499999999</v>
      </c>
      <c r="R30" s="6">
        <v>0.18240000000000001</v>
      </c>
      <c r="S30" s="6">
        <v>0.18240000000000001</v>
      </c>
      <c r="T30" s="51">
        <f t="shared" si="2"/>
        <v>129.0349167766316</v>
      </c>
      <c r="U30" s="51">
        <v>129.0349167766316</v>
      </c>
      <c r="V30" s="51">
        <v>0</v>
      </c>
      <c r="W30" s="48">
        <f t="shared" si="0"/>
        <v>1.0463699613870836</v>
      </c>
      <c r="X30" s="21" t="s">
        <v>49</v>
      </c>
      <c r="Y30" s="53" t="s">
        <v>321</v>
      </c>
      <c r="Z30" s="53" t="s">
        <v>321</v>
      </c>
      <c r="AA30" s="43" t="s">
        <v>943</v>
      </c>
      <c r="AB30" s="43" t="s">
        <v>395</v>
      </c>
      <c r="AC30" s="8"/>
      <c r="AD30" s="8" t="s">
        <v>69</v>
      </c>
      <c r="AE30" s="8" t="s">
        <v>69</v>
      </c>
      <c r="AF30" s="43" t="s">
        <v>275</v>
      </c>
    </row>
    <row r="31" spans="2:32" x14ac:dyDescent="0.3">
      <c r="B31" s="4">
        <f t="shared" si="3"/>
        <v>28</v>
      </c>
      <c r="C31" s="43" t="s">
        <v>396</v>
      </c>
      <c r="D31" s="43" t="s">
        <v>397</v>
      </c>
      <c r="E31" s="43" t="s">
        <v>30</v>
      </c>
      <c r="F31" s="43" t="s">
        <v>293</v>
      </c>
      <c r="G31" s="47">
        <v>45379</v>
      </c>
      <c r="H31" s="4" t="s">
        <v>65</v>
      </c>
      <c r="I31" s="4" t="s">
        <v>65</v>
      </c>
      <c r="J31" s="124">
        <v>1185.65915376</v>
      </c>
      <c r="K31" s="124">
        <v>1185.65915376</v>
      </c>
      <c r="L31" s="125">
        <f t="shared" si="9"/>
        <v>1185.65915376</v>
      </c>
      <c r="M31" s="49">
        <v>0</v>
      </c>
      <c r="N31" s="109">
        <f t="shared" si="4"/>
        <v>1185.65915376</v>
      </c>
      <c r="O31" s="43" t="s">
        <v>18</v>
      </c>
      <c r="P31" s="51">
        <v>149.99820371999999</v>
      </c>
      <c r="Q31" s="51">
        <v>0</v>
      </c>
      <c r="R31" s="6">
        <v>0.125</v>
      </c>
      <c r="S31" s="6">
        <v>0.125</v>
      </c>
      <c r="T31" s="51">
        <f t="shared" si="2"/>
        <v>108.20286729999998</v>
      </c>
      <c r="U31" s="51">
        <v>0</v>
      </c>
      <c r="V31" s="51">
        <v>108.20286729999998</v>
      </c>
      <c r="W31" s="48">
        <f t="shared" si="0"/>
        <v>0.72136108710995694</v>
      </c>
      <c r="X31" s="21">
        <v>-0.26395526304841044</v>
      </c>
      <c r="Y31" s="53" t="s">
        <v>321</v>
      </c>
      <c r="Z31" s="53" t="s">
        <v>321</v>
      </c>
      <c r="AA31" s="43" t="s">
        <v>952</v>
      </c>
      <c r="AB31" s="43" t="s">
        <v>398</v>
      </c>
      <c r="AC31" s="8"/>
      <c r="AD31" s="43" t="s">
        <v>43</v>
      </c>
      <c r="AE31" s="43" t="s">
        <v>43</v>
      </c>
      <c r="AF31" s="43" t="s">
        <v>275</v>
      </c>
    </row>
    <row r="32" spans="2:32" x14ac:dyDescent="0.3">
      <c r="B32" s="4">
        <f t="shared" si="3"/>
        <v>29</v>
      </c>
      <c r="C32" s="43" t="s">
        <v>399</v>
      </c>
      <c r="D32" s="43" t="s">
        <v>986</v>
      </c>
      <c r="E32" s="43" t="s">
        <v>30</v>
      </c>
      <c r="F32" s="43" t="s">
        <v>400</v>
      </c>
      <c r="G32" s="47">
        <v>45394</v>
      </c>
      <c r="H32" s="4" t="s">
        <v>32</v>
      </c>
      <c r="I32" s="4" t="s">
        <v>32</v>
      </c>
      <c r="J32" s="124">
        <v>3319.95118</v>
      </c>
      <c r="K32" s="124">
        <v>3319.95118</v>
      </c>
      <c r="L32" s="125">
        <f t="shared" si="9"/>
        <v>3319.95118</v>
      </c>
      <c r="M32" s="49">
        <v>0</v>
      </c>
      <c r="N32" s="109">
        <f t="shared" si="4"/>
        <v>3319.95118</v>
      </c>
      <c r="O32" s="43" t="s">
        <v>104</v>
      </c>
      <c r="P32" s="51">
        <v>475.19038799999998</v>
      </c>
      <c r="Q32" s="51">
        <f t="shared" si="1"/>
        <v>475.19038799999998</v>
      </c>
      <c r="R32" s="6">
        <v>0.12500078510190624</v>
      </c>
      <c r="S32" s="6">
        <v>0.12500078510190624</v>
      </c>
      <c r="T32" s="51">
        <f t="shared" si="2"/>
        <v>475.19038800000004</v>
      </c>
      <c r="U32" s="51">
        <v>475.19038800000004</v>
      </c>
      <c r="V32" s="51">
        <v>0</v>
      </c>
      <c r="W32" s="48">
        <f t="shared" si="0"/>
        <v>1.0000000000000002</v>
      </c>
      <c r="X32" s="21" t="s">
        <v>49</v>
      </c>
      <c r="Y32" s="53" t="s">
        <v>321</v>
      </c>
      <c r="Z32" s="53" t="s">
        <v>321</v>
      </c>
      <c r="AA32" s="43" t="s">
        <v>931</v>
      </c>
      <c r="AB32" s="43" t="s">
        <v>1069</v>
      </c>
      <c r="AD32" s="43" t="s">
        <v>36</v>
      </c>
      <c r="AE32" s="43" t="s">
        <v>36</v>
      </c>
      <c r="AF32" s="43" t="s">
        <v>275</v>
      </c>
    </row>
    <row r="33" spans="2:32" x14ac:dyDescent="0.3">
      <c r="B33" s="4">
        <f t="shared" si="3"/>
        <v>30</v>
      </c>
      <c r="C33" s="43" t="s">
        <v>401</v>
      </c>
      <c r="D33" s="43" t="s">
        <v>987</v>
      </c>
      <c r="E33" s="43" t="s">
        <v>279</v>
      </c>
      <c r="F33" s="43" t="s">
        <v>402</v>
      </c>
      <c r="G33" s="47">
        <v>45398</v>
      </c>
      <c r="H33" s="4" t="s">
        <v>32</v>
      </c>
      <c r="I33" s="4" t="s">
        <v>65</v>
      </c>
      <c r="J33" s="125">
        <v>622.44910000000004</v>
      </c>
      <c r="K33" s="125">
        <v>2395.3787550000002</v>
      </c>
      <c r="L33" s="125">
        <f>K33</f>
        <v>2395.3787550000002</v>
      </c>
      <c r="M33" s="49">
        <v>0</v>
      </c>
      <c r="N33" s="109">
        <f t="shared" si="4"/>
        <v>2395.3787550000002</v>
      </c>
      <c r="O33" s="43" t="s">
        <v>1031</v>
      </c>
      <c r="P33" s="51">
        <v>275.12473499999999</v>
      </c>
      <c r="Q33" s="51">
        <f t="shared" si="1"/>
        <v>275.12473499999999</v>
      </c>
      <c r="R33" s="6">
        <v>0.1</v>
      </c>
      <c r="S33" s="6">
        <v>0.16387378579718601</v>
      </c>
      <c r="T33" s="51">
        <f t="shared" si="2"/>
        <v>392.53978500000005</v>
      </c>
      <c r="U33" s="51">
        <v>392.53978500000005</v>
      </c>
      <c r="V33" s="51">
        <v>0</v>
      </c>
      <c r="W33" s="48">
        <f t="shared" si="0"/>
        <v>1.4267702429590712</v>
      </c>
      <c r="X33" s="21">
        <v>0.63717529177665744</v>
      </c>
      <c r="Y33" s="53" t="s">
        <v>321</v>
      </c>
      <c r="Z33" s="53" t="s">
        <v>321</v>
      </c>
      <c r="AA33" s="43" t="s">
        <v>964</v>
      </c>
      <c r="AB33" s="43" t="s">
        <v>1080</v>
      </c>
      <c r="AC33" s="43" t="s">
        <v>486</v>
      </c>
      <c r="AD33" s="43" t="s">
        <v>145</v>
      </c>
      <c r="AE33" s="43" t="s">
        <v>145</v>
      </c>
      <c r="AF33" s="43" t="s">
        <v>275</v>
      </c>
    </row>
    <row r="34" spans="2:32" x14ac:dyDescent="0.3">
      <c r="B34" s="4">
        <f t="shared" si="3"/>
        <v>31</v>
      </c>
      <c r="C34" s="43" t="s">
        <v>1075</v>
      </c>
      <c r="D34" s="43" t="s">
        <v>1074</v>
      </c>
      <c r="E34" s="43" t="s">
        <v>403</v>
      </c>
      <c r="F34" s="43" t="s">
        <v>404</v>
      </c>
      <c r="G34" s="47">
        <v>45454</v>
      </c>
      <c r="H34" s="4" t="s">
        <v>32</v>
      </c>
      <c r="I34" s="4" t="s">
        <v>32</v>
      </c>
      <c r="J34" s="124">
        <v>5152.3919898497879</v>
      </c>
      <c r="K34" s="125">
        <v>5152.3919898497879</v>
      </c>
      <c r="L34" s="125">
        <f t="shared" ref="L34:L43" si="10">K34</f>
        <v>5152.3919898497879</v>
      </c>
      <c r="M34" s="60">
        <v>0.5</v>
      </c>
      <c r="N34" s="109">
        <f t="shared" si="4"/>
        <v>2576.195994924894</v>
      </c>
      <c r="O34" s="43" t="s">
        <v>1032</v>
      </c>
      <c r="P34" s="51">
        <v>516.78</v>
      </c>
      <c r="Q34" s="51">
        <f t="shared" si="1"/>
        <v>516.78</v>
      </c>
      <c r="R34" s="6">
        <v>0.16669999999999999</v>
      </c>
      <c r="S34" s="6">
        <v>0.16669999999999999</v>
      </c>
      <c r="T34" s="51">
        <f t="shared" si="2"/>
        <v>258.39</v>
      </c>
      <c r="U34" s="51">
        <v>258.39</v>
      </c>
      <c r="V34" s="51">
        <v>0</v>
      </c>
      <c r="W34" s="48">
        <f t="shared" si="0"/>
        <v>0.5</v>
      </c>
      <c r="X34" s="21">
        <v>-0.36301232650876053</v>
      </c>
      <c r="Y34" s="53" t="s">
        <v>321</v>
      </c>
      <c r="Z34" s="53" t="s">
        <v>321</v>
      </c>
      <c r="AA34" s="43" t="s">
        <v>964</v>
      </c>
      <c r="AB34" s="43" t="s">
        <v>405</v>
      </c>
      <c r="AC34" s="43" t="s">
        <v>486</v>
      </c>
      <c r="AD34" s="43" t="s">
        <v>406</v>
      </c>
      <c r="AE34" s="43" t="s">
        <v>406</v>
      </c>
      <c r="AF34" s="43" t="s">
        <v>275</v>
      </c>
    </row>
    <row r="35" spans="2:32" x14ac:dyDescent="0.3">
      <c r="B35" s="4">
        <f t="shared" si="3"/>
        <v>32</v>
      </c>
      <c r="C35" s="43" t="s">
        <v>407</v>
      </c>
      <c r="D35" s="43" t="s">
        <v>408</v>
      </c>
      <c r="E35" s="43" t="s">
        <v>150</v>
      </c>
      <c r="F35" s="43" t="s">
        <v>356</v>
      </c>
      <c r="G35" s="47">
        <v>45467</v>
      </c>
      <c r="H35" s="4" t="s">
        <v>65</v>
      </c>
      <c r="I35" s="4" t="s">
        <v>65</v>
      </c>
      <c r="J35" s="125">
        <v>2195.5252500000001</v>
      </c>
      <c r="K35" s="125">
        <v>2195.5252500000001</v>
      </c>
      <c r="L35" s="125">
        <f t="shared" si="10"/>
        <v>2195.5252500000001</v>
      </c>
      <c r="M35" s="49">
        <v>0</v>
      </c>
      <c r="N35" s="109">
        <f t="shared" si="4"/>
        <v>2195.5252500000001</v>
      </c>
      <c r="O35" s="43" t="s">
        <v>104</v>
      </c>
      <c r="P35" s="51">
        <v>307.50282200000004</v>
      </c>
      <c r="Q35" s="51">
        <f t="shared" si="1"/>
        <v>307.50282200000004</v>
      </c>
      <c r="R35" s="6">
        <v>0.1246</v>
      </c>
      <c r="S35" s="6">
        <v>0.1246</v>
      </c>
      <c r="T35" s="51">
        <f t="shared" si="2"/>
        <v>307.50282200000004</v>
      </c>
      <c r="U35" s="51">
        <v>307.50282200000004</v>
      </c>
      <c r="V35" s="51">
        <v>0</v>
      </c>
      <c r="W35" s="48">
        <f t="shared" si="0"/>
        <v>1</v>
      </c>
      <c r="X35" s="21">
        <v>6.518691778182983E-4</v>
      </c>
      <c r="Y35" s="53" t="s">
        <v>321</v>
      </c>
      <c r="Z35" s="53" t="s">
        <v>321</v>
      </c>
      <c r="AA35" s="43" t="s">
        <v>938</v>
      </c>
      <c r="AB35" s="43" t="s">
        <v>409</v>
      </c>
      <c r="AC35" s="43" t="s">
        <v>35</v>
      </c>
      <c r="AD35" s="43" t="s">
        <v>145</v>
      </c>
      <c r="AE35" s="43" t="s">
        <v>145</v>
      </c>
      <c r="AF35" s="43" t="s">
        <v>275</v>
      </c>
    </row>
    <row r="36" spans="2:32" x14ac:dyDescent="0.3">
      <c r="B36" s="4">
        <f t="shared" si="3"/>
        <v>33</v>
      </c>
      <c r="C36" s="43" t="s">
        <v>958</v>
      </c>
      <c r="D36" s="43" t="s">
        <v>959</v>
      </c>
      <c r="E36" s="43" t="s">
        <v>30</v>
      </c>
      <c r="F36" s="43" t="s">
        <v>402</v>
      </c>
      <c r="G36" s="47">
        <v>45485</v>
      </c>
      <c r="H36" s="4" t="s">
        <v>139</v>
      </c>
      <c r="I36" s="4" t="s">
        <v>139</v>
      </c>
      <c r="J36" s="125">
        <v>4593.2521149899994</v>
      </c>
      <c r="K36" s="125">
        <v>4593.2521149899994</v>
      </c>
      <c r="L36" s="125">
        <f t="shared" si="10"/>
        <v>4593.2521149899994</v>
      </c>
      <c r="M36" s="49">
        <v>0</v>
      </c>
      <c r="N36" s="109">
        <f t="shared" si="4"/>
        <v>4593.2521149899994</v>
      </c>
      <c r="O36" s="43" t="s">
        <v>104</v>
      </c>
      <c r="P36" s="51">
        <v>459.32515782999997</v>
      </c>
      <c r="Q36" s="51">
        <f t="shared" si="1"/>
        <v>459.32515782999997</v>
      </c>
      <c r="R36" s="6">
        <v>0.1</v>
      </c>
      <c r="S36" s="6">
        <v>0.1</v>
      </c>
      <c r="T36" s="51">
        <f t="shared" si="2"/>
        <v>459.32515782999997</v>
      </c>
      <c r="U36" s="51">
        <v>459.32515782999997</v>
      </c>
      <c r="V36" s="51">
        <v>0</v>
      </c>
      <c r="W36" s="48">
        <f t="shared" si="0"/>
        <v>1</v>
      </c>
      <c r="X36" s="21" t="s">
        <v>49</v>
      </c>
      <c r="Y36" s="53" t="s">
        <v>321</v>
      </c>
      <c r="Z36" s="53" t="s">
        <v>321</v>
      </c>
      <c r="AA36" s="43" t="s">
        <v>964</v>
      </c>
      <c r="AB36" s="43" t="s">
        <v>1072</v>
      </c>
      <c r="AC36" s="43" t="s">
        <v>35</v>
      </c>
      <c r="AD36" s="43" t="s">
        <v>36</v>
      </c>
      <c r="AE36" s="43" t="s">
        <v>36</v>
      </c>
      <c r="AF36" s="43" t="s">
        <v>275</v>
      </c>
    </row>
    <row r="37" spans="2:32" x14ac:dyDescent="0.3">
      <c r="B37" s="4">
        <f t="shared" si="3"/>
        <v>34</v>
      </c>
      <c r="C37" s="43" t="s">
        <v>979</v>
      </c>
      <c r="D37" s="43" t="s">
        <v>980</v>
      </c>
      <c r="E37" s="43" t="s">
        <v>30</v>
      </c>
      <c r="F37" s="43" t="s">
        <v>983</v>
      </c>
      <c r="G37" s="47">
        <v>45609</v>
      </c>
      <c r="H37" s="4" t="s">
        <v>32</v>
      </c>
      <c r="I37" s="4" t="s">
        <v>32</v>
      </c>
      <c r="J37" s="125">
        <v>1199.953814</v>
      </c>
      <c r="K37" s="125">
        <v>1199.953814</v>
      </c>
      <c r="L37" s="125">
        <f t="shared" si="10"/>
        <v>1199.953814</v>
      </c>
      <c r="M37" s="49">
        <v>0</v>
      </c>
      <c r="N37" s="109">
        <f t="shared" ref="N37:N38" si="11">L37*(1-M37)</f>
        <v>1199.953814</v>
      </c>
      <c r="O37" s="43" t="s">
        <v>104</v>
      </c>
      <c r="P37" s="51">
        <v>149.998268</v>
      </c>
      <c r="Q37" s="51">
        <f t="shared" si="1"/>
        <v>149.998268</v>
      </c>
      <c r="R37" s="6">
        <v>0.12500336783795579</v>
      </c>
      <c r="S37" s="6">
        <v>0.12500336783795579</v>
      </c>
      <c r="T37" s="51">
        <f t="shared" si="2"/>
        <v>149.998268</v>
      </c>
      <c r="U37" s="51">
        <v>149.998268</v>
      </c>
      <c r="V37" s="51">
        <v>0</v>
      </c>
      <c r="W37" s="48">
        <f t="shared" ref="W37:W38" si="12">T37/P37</f>
        <v>1</v>
      </c>
      <c r="X37" s="21" t="s">
        <v>49</v>
      </c>
      <c r="Y37" s="53" t="s">
        <v>321</v>
      </c>
      <c r="Z37" s="53" t="s">
        <v>321</v>
      </c>
      <c r="AA37" s="8" t="s">
        <v>321</v>
      </c>
      <c r="AB37" s="43" t="s">
        <v>984</v>
      </c>
      <c r="AC37" s="43" t="s">
        <v>941</v>
      </c>
      <c r="AD37" s="43" t="s">
        <v>36</v>
      </c>
      <c r="AE37" s="43" t="s">
        <v>36</v>
      </c>
      <c r="AF37" s="43" t="s">
        <v>275</v>
      </c>
    </row>
    <row r="38" spans="2:32" x14ac:dyDescent="0.3">
      <c r="B38" s="4">
        <f t="shared" si="3"/>
        <v>35</v>
      </c>
      <c r="C38" s="43" t="s">
        <v>981</v>
      </c>
      <c r="D38" s="43" t="s">
        <v>982</v>
      </c>
      <c r="E38" s="43" t="s">
        <v>279</v>
      </c>
      <c r="F38" s="43" t="s">
        <v>64</v>
      </c>
      <c r="G38" s="47">
        <v>45646</v>
      </c>
      <c r="H38" s="4" t="s">
        <v>65</v>
      </c>
      <c r="I38" s="4" t="s">
        <v>65</v>
      </c>
      <c r="J38" s="125">
        <v>1377.216226</v>
      </c>
      <c r="K38" s="125">
        <v>1377.216226</v>
      </c>
      <c r="L38" s="125">
        <f t="shared" si="10"/>
        <v>1377.216226</v>
      </c>
      <c r="M38" s="49">
        <v>0</v>
      </c>
      <c r="N38" s="109">
        <f t="shared" si="11"/>
        <v>1377.216226</v>
      </c>
      <c r="O38" s="43" t="s">
        <v>1021</v>
      </c>
      <c r="P38" s="51">
        <v>206.57733400000001</v>
      </c>
      <c r="Q38" s="51">
        <f t="shared" si="1"/>
        <v>206.57733400000001</v>
      </c>
      <c r="R38" s="6">
        <v>0.14999629695039624</v>
      </c>
      <c r="S38" s="6">
        <v>0.14999629695039624</v>
      </c>
      <c r="T38" s="51">
        <f t="shared" si="2"/>
        <v>103.288667</v>
      </c>
      <c r="U38" s="51">
        <v>103.288667</v>
      </c>
      <c r="V38" s="51">
        <v>0</v>
      </c>
      <c r="W38" s="48">
        <f t="shared" si="12"/>
        <v>0.5</v>
      </c>
      <c r="X38" s="21" t="s">
        <v>49</v>
      </c>
      <c r="Y38" s="53" t="s">
        <v>321</v>
      </c>
      <c r="Z38" s="53" t="s">
        <v>321</v>
      </c>
      <c r="AA38" s="8" t="s">
        <v>321</v>
      </c>
      <c r="AB38" s="43" t="s">
        <v>985</v>
      </c>
      <c r="AC38" s="43" t="s">
        <v>904</v>
      </c>
      <c r="AD38" s="43" t="s">
        <v>993</v>
      </c>
      <c r="AE38" s="43" t="s">
        <v>145</v>
      </c>
      <c r="AF38" s="43" t="s">
        <v>275</v>
      </c>
    </row>
    <row r="39" spans="2:32" x14ac:dyDescent="0.3">
      <c r="B39" s="4">
        <f t="shared" si="3"/>
        <v>36</v>
      </c>
      <c r="C39" s="43" t="s">
        <v>1005</v>
      </c>
      <c r="D39" s="43" t="s">
        <v>1006</v>
      </c>
      <c r="E39" s="43" t="s">
        <v>30</v>
      </c>
      <c r="F39" s="43" t="s">
        <v>182</v>
      </c>
      <c r="G39" s="47">
        <v>45698</v>
      </c>
      <c r="H39" s="4" t="s">
        <v>1015</v>
      </c>
      <c r="I39" s="4" t="s">
        <v>1015</v>
      </c>
      <c r="J39" s="125">
        <v>1893.0003839999999</v>
      </c>
      <c r="K39" s="125">
        <v>1893.0003839999999</v>
      </c>
      <c r="L39" s="125">
        <f t="shared" si="10"/>
        <v>1893.0003839999999</v>
      </c>
      <c r="M39" s="49">
        <v>0</v>
      </c>
      <c r="N39" s="109">
        <f t="shared" ref="N39" si="13">L39*(1-M39)</f>
        <v>1893.0003839999999</v>
      </c>
      <c r="O39" s="43" t="s">
        <v>104</v>
      </c>
      <c r="P39" s="51">
        <v>190.00008000000003</v>
      </c>
      <c r="Q39" s="51">
        <f t="shared" si="1"/>
        <v>190.00008000000003</v>
      </c>
      <c r="R39" s="6">
        <v>0.10036911176120615</v>
      </c>
      <c r="S39" s="6">
        <v>0.10036911176120615</v>
      </c>
      <c r="T39" s="51">
        <f t="shared" si="2"/>
        <v>190.00008000000003</v>
      </c>
      <c r="U39" s="51">
        <v>190.00008000000003</v>
      </c>
      <c r="V39" s="51">
        <v>0</v>
      </c>
      <c r="W39" s="48">
        <f t="shared" ref="W39:W44" si="14">T39/P39</f>
        <v>1</v>
      </c>
      <c r="X39" s="21" t="s">
        <v>49</v>
      </c>
      <c r="Y39" s="53" t="s">
        <v>321</v>
      </c>
      <c r="Z39" s="53" t="s">
        <v>321</v>
      </c>
      <c r="AA39" s="8" t="s">
        <v>321</v>
      </c>
      <c r="AB39" s="43" t="s">
        <v>1014</v>
      </c>
      <c r="AD39" s="43" t="s">
        <v>43</v>
      </c>
      <c r="AE39" s="43" t="s">
        <v>43</v>
      </c>
      <c r="AF39" s="43" t="s">
        <v>275</v>
      </c>
    </row>
    <row r="40" spans="2:32" ht="26" x14ac:dyDescent="0.3">
      <c r="B40" s="4">
        <f t="shared" si="3"/>
        <v>37</v>
      </c>
      <c r="C40" s="43" t="s">
        <v>1007</v>
      </c>
      <c r="D40" s="43" t="s">
        <v>578</v>
      </c>
      <c r="E40" s="43" t="s">
        <v>92</v>
      </c>
      <c r="F40" s="43" t="s">
        <v>182</v>
      </c>
      <c r="G40" s="47">
        <v>45701</v>
      </c>
      <c r="H40" s="4" t="s">
        <v>418</v>
      </c>
      <c r="I40" s="4" t="s">
        <v>418</v>
      </c>
      <c r="J40" s="125">
        <f>'Fund I'!K4</f>
        <v>41634.549999999996</v>
      </c>
      <c r="K40" s="125">
        <f>'Fund I'!L4</f>
        <v>41634.549999999996</v>
      </c>
      <c r="L40" s="125">
        <f t="shared" si="10"/>
        <v>41634.549999999996</v>
      </c>
      <c r="M40" s="49">
        <v>0</v>
      </c>
      <c r="N40" s="108">
        <f t="shared" ref="N40" si="15">L40*(1-M40)</f>
        <v>41634.549999999996</v>
      </c>
      <c r="O40" s="43" t="s">
        <v>104</v>
      </c>
      <c r="P40" s="51">
        <v>260.72987224000002</v>
      </c>
      <c r="Q40" s="51">
        <f t="shared" si="1"/>
        <v>260.72987224000002</v>
      </c>
      <c r="R40" s="6">
        <v>6.0606032312411325E-3</v>
      </c>
      <c r="S40" s="6">
        <v>6.0606032312411325E-3</v>
      </c>
      <c r="T40" s="51">
        <f t="shared" si="2"/>
        <v>260.72987224000002</v>
      </c>
      <c r="U40" s="51">
        <v>260.72987224000002</v>
      </c>
      <c r="V40" s="51">
        <v>0</v>
      </c>
      <c r="W40" s="79">
        <f t="shared" si="14"/>
        <v>1</v>
      </c>
      <c r="X40" s="21" t="s">
        <v>49</v>
      </c>
      <c r="Y40" s="53" t="s">
        <v>321</v>
      </c>
      <c r="Z40" s="53" t="s">
        <v>321</v>
      </c>
      <c r="AA40" s="8" t="str">
        <f>'Fund 1X'!AA9</f>
        <v xml:space="preserve">Business Development connects, Investor connect,  Finance &amp; compliance support </v>
      </c>
      <c r="AB40" s="43" t="s">
        <v>1016</v>
      </c>
      <c r="AC40" s="43" t="s">
        <v>1022</v>
      </c>
      <c r="AD40" s="43" t="s">
        <v>36</v>
      </c>
      <c r="AE40" s="43" t="s">
        <v>36</v>
      </c>
      <c r="AF40" s="43" t="s">
        <v>275</v>
      </c>
    </row>
    <row r="41" spans="2:32" x14ac:dyDescent="0.3">
      <c r="B41" s="4">
        <f t="shared" si="3"/>
        <v>38</v>
      </c>
      <c r="C41" s="43" t="s">
        <v>1008</v>
      </c>
      <c r="D41" s="43" t="s">
        <v>1009</v>
      </c>
      <c r="E41" s="43" t="s">
        <v>279</v>
      </c>
      <c r="F41" s="43" t="s">
        <v>356</v>
      </c>
      <c r="G41" s="47">
        <v>45726</v>
      </c>
      <c r="H41" s="4" t="s">
        <v>65</v>
      </c>
      <c r="I41" s="4" t="s">
        <v>65</v>
      </c>
      <c r="J41" s="125">
        <v>1650.0559949999999</v>
      </c>
      <c r="K41" s="125">
        <v>1650.0559949999999</v>
      </c>
      <c r="L41" s="125">
        <f t="shared" si="10"/>
        <v>1650.0559949999999</v>
      </c>
      <c r="M41" s="49">
        <v>0</v>
      </c>
      <c r="N41" s="109">
        <f t="shared" ref="N41" si="16">L41*(1-M41)</f>
        <v>1650.0559949999999</v>
      </c>
      <c r="O41" s="43" t="s">
        <v>104</v>
      </c>
      <c r="P41" s="51">
        <v>270.65176699</v>
      </c>
      <c r="Q41" s="51">
        <f t="shared" si="1"/>
        <v>270.65176699</v>
      </c>
      <c r="R41" s="6">
        <v>0.1515</v>
      </c>
      <c r="S41" s="6">
        <v>0.1515</v>
      </c>
      <c r="T41" s="51">
        <f t="shared" si="2"/>
        <v>270.65176699</v>
      </c>
      <c r="U41" s="51">
        <v>270.65176699</v>
      </c>
      <c r="V41" s="51">
        <v>0</v>
      </c>
      <c r="W41" s="48">
        <f t="shared" si="14"/>
        <v>1</v>
      </c>
      <c r="X41" s="21" t="s">
        <v>49</v>
      </c>
      <c r="Y41" s="53" t="s">
        <v>321</v>
      </c>
      <c r="Z41" s="53" t="s">
        <v>321</v>
      </c>
      <c r="AA41" s="8"/>
      <c r="AB41" s="43" t="s">
        <v>357</v>
      </c>
      <c r="AD41" s="43" t="s">
        <v>60</v>
      </c>
      <c r="AE41" s="43" t="s">
        <v>60</v>
      </c>
      <c r="AF41" s="43" t="s">
        <v>275</v>
      </c>
    </row>
    <row r="42" spans="2:32" x14ac:dyDescent="0.3">
      <c r="B42" s="4">
        <f t="shared" si="3"/>
        <v>39</v>
      </c>
      <c r="C42" s="43" t="s">
        <v>1010</v>
      </c>
      <c r="D42" s="43" t="s">
        <v>1011</v>
      </c>
      <c r="E42" s="43" t="s">
        <v>30</v>
      </c>
      <c r="F42" s="43" t="s">
        <v>64</v>
      </c>
      <c r="G42" s="47">
        <v>45734</v>
      </c>
      <c r="H42" s="4" t="s">
        <v>1017</v>
      </c>
      <c r="I42" s="4" t="s">
        <v>1017</v>
      </c>
      <c r="J42" s="125">
        <v>400.06052599999998</v>
      </c>
      <c r="K42" s="125">
        <v>400.06052599999998</v>
      </c>
      <c r="L42" s="125">
        <f t="shared" si="10"/>
        <v>400.06052599999998</v>
      </c>
      <c r="M42" s="49">
        <v>0</v>
      </c>
      <c r="N42" s="109">
        <f t="shared" ref="N42" si="17">L42*(1-M42)</f>
        <v>400.06052599999998</v>
      </c>
      <c r="O42" s="43" t="s">
        <v>104</v>
      </c>
      <c r="P42" s="51">
        <v>40.001429999999999</v>
      </c>
      <c r="Q42" s="51">
        <f t="shared" si="1"/>
        <v>40.001429999999999</v>
      </c>
      <c r="R42" s="6">
        <v>9.9988445248407234E-2</v>
      </c>
      <c r="S42" s="6">
        <v>9.9988445248407234E-2</v>
      </c>
      <c r="T42" s="51">
        <f t="shared" si="2"/>
        <v>40.001429999999999</v>
      </c>
      <c r="U42" s="51">
        <v>40.001429999999999</v>
      </c>
      <c r="V42" s="51">
        <v>0</v>
      </c>
      <c r="W42" s="48">
        <f t="shared" si="14"/>
        <v>1</v>
      </c>
      <c r="X42" s="21" t="s">
        <v>49</v>
      </c>
      <c r="Y42" s="53" t="s">
        <v>321</v>
      </c>
      <c r="Z42" s="53" t="s">
        <v>321</v>
      </c>
      <c r="AA42" s="8" t="s">
        <v>840</v>
      </c>
      <c r="AB42" s="43" t="s">
        <v>357</v>
      </c>
      <c r="AC42" s="43" t="s">
        <v>941</v>
      </c>
      <c r="AD42" s="43" t="s">
        <v>43</v>
      </c>
      <c r="AE42" s="43" t="s">
        <v>43</v>
      </c>
      <c r="AF42" s="43" t="s">
        <v>275</v>
      </c>
    </row>
    <row r="43" spans="2:32" x14ac:dyDescent="0.3">
      <c r="B43" s="4">
        <f t="shared" si="3"/>
        <v>40</v>
      </c>
      <c r="C43" s="43" t="s">
        <v>1012</v>
      </c>
      <c r="D43" s="43" t="s">
        <v>1013</v>
      </c>
      <c r="E43" s="43" t="s">
        <v>63</v>
      </c>
      <c r="F43" s="43" t="s">
        <v>402</v>
      </c>
      <c r="G43" s="47">
        <v>45740</v>
      </c>
      <c r="H43" s="4" t="s">
        <v>139</v>
      </c>
      <c r="I43" s="4" t="s">
        <v>139</v>
      </c>
      <c r="J43" s="125">
        <v>1377.216226</v>
      </c>
      <c r="K43" s="125">
        <v>1377.216226</v>
      </c>
      <c r="L43" s="125">
        <f t="shared" si="10"/>
        <v>1377.216226</v>
      </c>
      <c r="M43" s="49">
        <v>0</v>
      </c>
      <c r="N43" s="109">
        <f t="shared" ref="N43" si="18">L43*(1-M43)</f>
        <v>1377.216226</v>
      </c>
      <c r="O43" s="43" t="s">
        <v>104</v>
      </c>
      <c r="P43" s="51">
        <v>87.002175000000008</v>
      </c>
      <c r="Q43" s="51">
        <f t="shared" si="1"/>
        <v>87.002175000000008</v>
      </c>
      <c r="R43" s="6">
        <v>0.19048004533311746</v>
      </c>
      <c r="S43" s="6">
        <v>0.19048004533311746</v>
      </c>
      <c r="T43" s="51">
        <f t="shared" si="2"/>
        <v>87.002175000000008</v>
      </c>
      <c r="U43" s="51">
        <v>87.002175000000008</v>
      </c>
      <c r="V43" s="51">
        <v>0</v>
      </c>
      <c r="W43" s="48">
        <f t="shared" si="14"/>
        <v>1</v>
      </c>
      <c r="X43" s="21" t="s">
        <v>49</v>
      </c>
      <c r="Y43" s="53" t="s">
        <v>321</v>
      </c>
      <c r="Z43" s="53" t="s">
        <v>321</v>
      </c>
      <c r="AA43" s="8" t="s">
        <v>321</v>
      </c>
      <c r="AB43" s="43" t="s">
        <v>1018</v>
      </c>
      <c r="AD43" s="43" t="s">
        <v>43</v>
      </c>
      <c r="AE43" s="43" t="s">
        <v>43</v>
      </c>
      <c r="AF43" s="43" t="s">
        <v>275</v>
      </c>
    </row>
    <row r="44" spans="2:32" x14ac:dyDescent="0.3">
      <c r="B44" s="4">
        <f t="shared" si="3"/>
        <v>41</v>
      </c>
      <c r="C44" s="43" t="s">
        <v>410</v>
      </c>
      <c r="D44" s="43" t="s">
        <v>321</v>
      </c>
      <c r="E44" s="43" t="s">
        <v>321</v>
      </c>
      <c r="F44" s="43" t="s">
        <v>321</v>
      </c>
      <c r="G44" s="47" t="s">
        <v>49</v>
      </c>
      <c r="H44" s="4" t="s">
        <v>321</v>
      </c>
      <c r="I44" s="4" t="str">
        <f>G44</f>
        <v>NA</v>
      </c>
      <c r="J44" s="80" t="str">
        <f t="shared" ref="J44:L46" si="19">I44</f>
        <v>NA</v>
      </c>
      <c r="K44" s="80" t="str">
        <f t="shared" si="19"/>
        <v>NA</v>
      </c>
      <c r="L44" s="80" t="str">
        <f t="shared" si="19"/>
        <v>NA</v>
      </c>
      <c r="M44" s="49">
        <v>0</v>
      </c>
      <c r="N44" s="108" t="s">
        <v>49</v>
      </c>
      <c r="O44" s="43" t="s">
        <v>104</v>
      </c>
      <c r="P44" s="51">
        <v>1092.7249585899997</v>
      </c>
      <c r="Q44" s="51">
        <v>1029.6819765899997</v>
      </c>
      <c r="R44" s="6" t="s">
        <v>49</v>
      </c>
      <c r="S44" s="6" t="s">
        <v>49</v>
      </c>
      <c r="T44" s="51">
        <f t="shared" si="2"/>
        <v>920.2095492899997</v>
      </c>
      <c r="U44" s="51">
        <v>916.83806968999966</v>
      </c>
      <c r="V44" s="52">
        <v>3.3714796000000002</v>
      </c>
      <c r="W44" s="79">
        <f t="shared" si="14"/>
        <v>0.84212366712790598</v>
      </c>
      <c r="X44" s="21" t="s">
        <v>49</v>
      </c>
      <c r="Y44" s="53" t="s">
        <v>321</v>
      </c>
      <c r="Z44" s="53" t="s">
        <v>321</v>
      </c>
      <c r="AA44" s="8" t="s">
        <v>321</v>
      </c>
      <c r="AB44" s="43" t="s">
        <v>321</v>
      </c>
      <c r="AD44" s="8" t="s">
        <v>321</v>
      </c>
      <c r="AE44" s="43" t="s">
        <v>321</v>
      </c>
      <c r="AF44" s="43" t="s">
        <v>275</v>
      </c>
    </row>
    <row r="45" spans="2:32" x14ac:dyDescent="0.3">
      <c r="B45" s="4">
        <f t="shared" si="3"/>
        <v>42</v>
      </c>
      <c r="C45" s="43" t="s">
        <v>411</v>
      </c>
      <c r="D45" s="43" t="s">
        <v>412</v>
      </c>
      <c r="E45" s="43" t="s">
        <v>321</v>
      </c>
      <c r="F45" s="43" t="s">
        <v>321</v>
      </c>
      <c r="G45" s="47" t="s">
        <v>49</v>
      </c>
      <c r="H45" s="4" t="s">
        <v>321</v>
      </c>
      <c r="I45" s="4" t="str">
        <f>G45</f>
        <v>NA</v>
      </c>
      <c r="J45" s="80" t="str">
        <f t="shared" si="19"/>
        <v>NA</v>
      </c>
      <c r="K45" s="124" t="str">
        <f t="shared" si="19"/>
        <v>NA</v>
      </c>
      <c r="L45" s="124" t="str">
        <f t="shared" si="19"/>
        <v>NA</v>
      </c>
      <c r="M45" s="49">
        <v>0</v>
      </c>
      <c r="N45" s="109" t="s">
        <v>49</v>
      </c>
      <c r="O45" s="43" t="s">
        <v>104</v>
      </c>
      <c r="P45" s="51">
        <v>246.87371638999994</v>
      </c>
      <c r="Q45" s="51">
        <f t="shared" si="1"/>
        <v>246.87371638999994</v>
      </c>
      <c r="R45" s="6" t="s">
        <v>49</v>
      </c>
      <c r="S45" s="6" t="s">
        <v>49</v>
      </c>
      <c r="T45" s="51">
        <f t="shared" si="2"/>
        <v>242.88486642999993</v>
      </c>
      <c r="U45" s="51">
        <v>242.88486642999993</v>
      </c>
      <c r="V45" s="52">
        <v>0</v>
      </c>
      <c r="W45" s="124">
        <f>T45/P45</f>
        <v>0.9838425490638355</v>
      </c>
      <c r="X45" s="21">
        <v>-7.3759511113166802E-3</v>
      </c>
      <c r="Y45" s="53" t="s">
        <v>321</v>
      </c>
      <c r="Z45" s="53" t="s">
        <v>321</v>
      </c>
      <c r="AA45" s="8" t="s">
        <v>321</v>
      </c>
      <c r="AB45" s="43" t="s">
        <v>321</v>
      </c>
      <c r="AC45" s="8"/>
      <c r="AD45" s="8" t="s">
        <v>321</v>
      </c>
      <c r="AE45" s="8" t="s">
        <v>321</v>
      </c>
      <c r="AF45" s="43" t="s">
        <v>275</v>
      </c>
    </row>
    <row r="46" spans="2:32" x14ac:dyDescent="0.3">
      <c r="B46" s="4">
        <f t="shared" si="3"/>
        <v>43</v>
      </c>
      <c r="C46" s="43" t="s">
        <v>413</v>
      </c>
      <c r="D46" s="43" t="s">
        <v>414</v>
      </c>
      <c r="E46" s="43" t="s">
        <v>321</v>
      </c>
      <c r="F46" s="43" t="s">
        <v>321</v>
      </c>
      <c r="G46" s="47" t="s">
        <v>49</v>
      </c>
      <c r="H46" s="4" t="s">
        <v>321</v>
      </c>
      <c r="I46" s="4" t="str">
        <f>G46</f>
        <v>NA</v>
      </c>
      <c r="J46" s="80" t="str">
        <f t="shared" si="19"/>
        <v>NA</v>
      </c>
      <c r="K46" s="124" t="str">
        <f>I46</f>
        <v>NA</v>
      </c>
      <c r="L46" s="124" t="str">
        <f>J46</f>
        <v>NA</v>
      </c>
      <c r="M46" s="49">
        <v>0</v>
      </c>
      <c r="N46" s="109" t="s">
        <v>49</v>
      </c>
      <c r="O46" s="43" t="s">
        <v>104</v>
      </c>
      <c r="P46" s="51">
        <v>239.30984106700004</v>
      </c>
      <c r="Q46" s="51">
        <f t="shared" si="1"/>
        <v>239.30984106700004</v>
      </c>
      <c r="R46" s="6" t="s">
        <v>49</v>
      </c>
      <c r="S46" s="6" t="s">
        <v>49</v>
      </c>
      <c r="T46" s="51">
        <f t="shared" si="2"/>
        <v>257.05038197761206</v>
      </c>
      <c r="U46" s="51">
        <v>257.05038197761206</v>
      </c>
      <c r="V46" s="52">
        <v>0</v>
      </c>
      <c r="W46" s="80" t="s">
        <v>49</v>
      </c>
      <c r="X46" s="21" t="s">
        <v>49</v>
      </c>
      <c r="Y46" s="53" t="s">
        <v>321</v>
      </c>
      <c r="Z46" s="53" t="s">
        <v>321</v>
      </c>
      <c r="AA46" s="8" t="s">
        <v>321</v>
      </c>
      <c r="AB46" s="43" t="s">
        <v>321</v>
      </c>
      <c r="AC46" s="8"/>
      <c r="AD46" s="8" t="s">
        <v>321</v>
      </c>
      <c r="AE46" s="8" t="s">
        <v>321</v>
      </c>
      <c r="AF46" s="43" t="s">
        <v>275</v>
      </c>
    </row>
    <row r="47" spans="2:32" s="67" customFormat="1" x14ac:dyDescent="0.3">
      <c r="B47" s="64"/>
      <c r="C47" s="54"/>
      <c r="D47" s="54"/>
      <c r="E47" s="54"/>
      <c r="F47" s="54"/>
      <c r="G47" s="54"/>
      <c r="H47" s="54"/>
      <c r="I47" s="54"/>
      <c r="J47" s="54"/>
      <c r="K47" s="54"/>
      <c r="L47" s="54"/>
      <c r="M47" s="54"/>
      <c r="N47" s="54"/>
      <c r="O47" s="54"/>
      <c r="P47" s="55">
        <f>SUM(P4:P46)</f>
        <v>14682.944070937001</v>
      </c>
      <c r="Q47" s="55">
        <f>SUM(Q4:Q46)</f>
        <v>14469.902885216999</v>
      </c>
      <c r="R47" s="54"/>
      <c r="S47" s="54"/>
      <c r="T47" s="55">
        <f>SUM(T4:T46)</f>
        <v>18401.355034048564</v>
      </c>
      <c r="U47" s="55">
        <f>SUM(U4:U46)</f>
        <v>18289.780687148559</v>
      </c>
      <c r="V47" s="55">
        <f>SUM(V4:V46)</f>
        <v>111.57434689999998</v>
      </c>
      <c r="W47" s="55">
        <f>T47/P47</f>
        <v>1.253246960905591</v>
      </c>
      <c r="X47" s="126">
        <v>0.1290430009365082</v>
      </c>
      <c r="Y47" s="54"/>
      <c r="Z47" s="54"/>
      <c r="AA47" s="54"/>
      <c r="AB47" s="54"/>
      <c r="AC47" s="54"/>
      <c r="AD47" s="54"/>
      <c r="AE47" s="54"/>
      <c r="AF47" s="54"/>
    </row>
  </sheetData>
  <conditionalFormatting sqref="C4:C43">
    <cfRule type="duplicateValues" dxfId="1" priority="1"/>
  </conditionalFormatting>
  <conditionalFormatting sqref="D4:D43">
    <cfRule type="duplicateValues" dxfId="0" priority="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5439D-6B8A-428C-99AE-25C0341BAC0C}">
  <dimension ref="B2:AG18"/>
  <sheetViews>
    <sheetView showGridLines="0" workbookViewId="0">
      <pane xSplit="4" ySplit="2" topLeftCell="AA3" activePane="bottomRight" state="frozen"/>
      <selection activeCell="T12" sqref="B1:AI56"/>
      <selection pane="topRight" activeCell="T12" sqref="B1:AI56"/>
      <selection pane="bottomLeft" activeCell="T12" sqref="B1:AI56"/>
      <selection pane="bottomRight" activeCell="AB3" sqref="AB3"/>
    </sheetView>
  </sheetViews>
  <sheetFormatPr defaultColWidth="8.6328125" defaultRowHeight="14.5" x14ac:dyDescent="0.35"/>
  <cols>
    <col min="1" max="1" width="4.08984375" style="13" customWidth="1"/>
    <col min="2" max="2" width="8.6328125" style="13"/>
    <col min="3" max="3" width="38.36328125" style="13" customWidth="1"/>
    <col min="4" max="4" width="21.90625" style="13" customWidth="1"/>
    <col min="5" max="5" width="14.6328125" style="13" customWidth="1"/>
    <col min="6" max="6" width="22.36328125" style="13" bestFit="1" customWidth="1"/>
    <col min="7" max="7" width="14.6328125" style="13" customWidth="1"/>
    <col min="8" max="8" width="16.90625" style="13" customWidth="1"/>
    <col min="9" max="9" width="16.6328125" style="13" customWidth="1"/>
    <col min="10" max="10" width="15" style="14" bestFit="1" customWidth="1"/>
    <col min="11" max="12" width="18.36328125" style="14" bestFit="1" customWidth="1"/>
    <col min="13" max="13" width="16" style="13" bestFit="1" customWidth="1"/>
    <col min="14" max="14" width="15.6328125" style="14" bestFit="1" customWidth="1"/>
    <col min="15" max="15" width="16.6328125" style="13" customWidth="1"/>
    <col min="16" max="17" width="18.6328125" style="14" customWidth="1"/>
    <col min="18" max="19" width="18.6328125" style="15" customWidth="1"/>
    <col min="20" max="20" width="18.6328125" style="14" customWidth="1"/>
    <col min="21" max="23" width="18.6328125" style="13" customWidth="1"/>
    <col min="24" max="24" width="18.6328125" style="16" customWidth="1"/>
    <col min="25" max="25" width="11.54296875" style="13" customWidth="1"/>
    <col min="26" max="26" width="9.453125" style="13" customWidth="1"/>
    <col min="27" max="27" width="38.54296875" style="13" customWidth="1"/>
    <col min="28" max="28" width="55.453125" style="20" customWidth="1"/>
    <col min="29" max="29" width="46.6328125" style="13" bestFit="1" customWidth="1"/>
    <col min="30" max="30" width="17.453125" style="13" bestFit="1" customWidth="1"/>
    <col min="31" max="31" width="12" style="13" customWidth="1"/>
    <col min="32" max="32" width="11.08984375" style="13" customWidth="1"/>
    <col min="33" max="16384" width="8.6328125" style="13"/>
  </cols>
  <sheetData>
    <row r="2" spans="2:33" s="43" customFormat="1" ht="39" x14ac:dyDescent="0.3">
      <c r="B2" s="40" t="s">
        <v>0</v>
      </c>
      <c r="C2" s="40" t="s">
        <v>1</v>
      </c>
      <c r="D2" s="40" t="s">
        <v>2</v>
      </c>
      <c r="E2" s="40" t="s">
        <v>3</v>
      </c>
      <c r="F2" s="40" t="s">
        <v>4</v>
      </c>
      <c r="G2" s="40" t="s">
        <v>5</v>
      </c>
      <c r="H2" s="40" t="s">
        <v>6</v>
      </c>
      <c r="I2" s="40" t="s">
        <v>7</v>
      </c>
      <c r="J2" s="40" t="s">
        <v>8</v>
      </c>
      <c r="K2" s="40" t="s">
        <v>9</v>
      </c>
      <c r="L2" s="41" t="s">
        <v>266</v>
      </c>
      <c r="M2" s="41" t="s">
        <v>11</v>
      </c>
      <c r="N2" s="41" t="s">
        <v>12</v>
      </c>
      <c r="O2" s="40" t="s">
        <v>13</v>
      </c>
      <c r="P2" s="40" t="s">
        <v>14</v>
      </c>
      <c r="Q2" s="40" t="s">
        <v>15</v>
      </c>
      <c r="R2" s="41" t="s">
        <v>621</v>
      </c>
      <c r="S2" s="41" t="s">
        <v>622</v>
      </c>
      <c r="T2" s="40" t="s">
        <v>16</v>
      </c>
      <c r="U2" s="40" t="s">
        <v>17</v>
      </c>
      <c r="V2" s="40" t="s">
        <v>18</v>
      </c>
      <c r="W2" s="40" t="s">
        <v>19</v>
      </c>
      <c r="X2" s="42" t="s">
        <v>1130</v>
      </c>
      <c r="Y2" s="41" t="s">
        <v>20</v>
      </c>
      <c r="Z2" s="41" t="s">
        <v>21</v>
      </c>
      <c r="AA2" s="40" t="s">
        <v>22</v>
      </c>
      <c r="AB2" s="40" t="s">
        <v>955</v>
      </c>
      <c r="AC2" s="40" t="s">
        <v>23</v>
      </c>
      <c r="AD2" s="40" t="s">
        <v>24</v>
      </c>
      <c r="AE2" s="40" t="s">
        <v>25</v>
      </c>
      <c r="AF2" s="40" t="s">
        <v>265</v>
      </c>
      <c r="AG2" s="40" t="s">
        <v>267</v>
      </c>
    </row>
    <row r="3" spans="2:33" s="43" customFormat="1" ht="13" x14ac:dyDescent="0.3">
      <c r="B3" s="44"/>
      <c r="C3" s="44"/>
      <c r="D3" s="44"/>
      <c r="E3" s="44"/>
      <c r="F3" s="44"/>
      <c r="G3" s="44" t="s">
        <v>26</v>
      </c>
      <c r="H3" s="44"/>
      <c r="I3" s="44"/>
      <c r="J3" s="44" t="s">
        <v>1129</v>
      </c>
      <c r="K3" s="44" t="s">
        <v>1129</v>
      </c>
      <c r="L3" s="44" t="s">
        <v>1129</v>
      </c>
      <c r="M3" s="44"/>
      <c r="N3" s="44" t="s">
        <v>1129</v>
      </c>
      <c r="O3" s="44"/>
      <c r="P3" s="44" t="s">
        <v>1129</v>
      </c>
      <c r="Q3" s="44" t="s">
        <v>1129</v>
      </c>
      <c r="R3" s="44" t="s">
        <v>27</v>
      </c>
      <c r="S3" s="44" t="s">
        <v>27</v>
      </c>
      <c r="T3" s="44" t="s">
        <v>1129</v>
      </c>
      <c r="U3" s="44" t="s">
        <v>1129</v>
      </c>
      <c r="V3" s="44" t="s">
        <v>1129</v>
      </c>
      <c r="W3" s="44" t="s">
        <v>268</v>
      </c>
      <c r="X3" s="45" t="s">
        <v>27</v>
      </c>
      <c r="Y3" s="44"/>
      <c r="Z3" s="44"/>
      <c r="AA3" s="44"/>
      <c r="AB3" s="44"/>
      <c r="AC3" s="44"/>
      <c r="AD3" s="44"/>
      <c r="AE3" s="44"/>
      <c r="AF3" s="44"/>
      <c r="AG3" s="46"/>
    </row>
    <row r="4" spans="2:33" s="43" customFormat="1" ht="13" x14ac:dyDescent="0.3">
      <c r="B4" s="4">
        <v>1</v>
      </c>
      <c r="C4" s="43" t="s">
        <v>1068</v>
      </c>
      <c r="D4" s="43" t="s">
        <v>1067</v>
      </c>
      <c r="E4" s="43" t="s">
        <v>30</v>
      </c>
      <c r="F4" s="43" t="s">
        <v>64</v>
      </c>
      <c r="G4" s="47">
        <v>45904</v>
      </c>
      <c r="H4" s="4" t="s">
        <v>32</v>
      </c>
      <c r="I4" s="4" t="s">
        <v>32</v>
      </c>
      <c r="J4" s="48">
        <v>722.52833999999996</v>
      </c>
      <c r="K4" s="48">
        <v>722.52833999999996</v>
      </c>
      <c r="L4" s="48">
        <f>K4</f>
        <v>722.52833999999996</v>
      </c>
      <c r="M4" s="49">
        <v>0</v>
      </c>
      <c r="N4" s="50">
        <f t="shared" ref="N4:N12" si="0">L4*(1-M4)</f>
        <v>722.52833999999996</v>
      </c>
      <c r="O4" s="43" t="s">
        <v>104</v>
      </c>
      <c r="P4" s="51">
        <v>116.79916499999999</v>
      </c>
      <c r="Q4" s="51">
        <f>P4</f>
        <v>116.79916499999999</v>
      </c>
      <c r="R4" s="6">
        <v>0.16165354741177085</v>
      </c>
      <c r="S4" s="6">
        <v>0.16165354741177085</v>
      </c>
      <c r="T4" s="51">
        <f>U4+V4</f>
        <v>116.79916499999999</v>
      </c>
      <c r="U4" s="51">
        <v>116.79916499999999</v>
      </c>
      <c r="V4" s="52">
        <v>0</v>
      </c>
      <c r="W4" s="48">
        <f t="shared" ref="W4:W14" si="1">T4/P4</f>
        <v>1</v>
      </c>
      <c r="X4" s="53">
        <v>0</v>
      </c>
      <c r="Y4" s="53">
        <v>0</v>
      </c>
      <c r="Z4" s="53">
        <v>0</v>
      </c>
      <c r="AB4" s="43" t="s">
        <v>1066</v>
      </c>
      <c r="AE4" s="43" t="s">
        <v>43</v>
      </c>
      <c r="AF4" s="43" t="s">
        <v>275</v>
      </c>
      <c r="AG4" s="8"/>
    </row>
    <row r="5" spans="2:33" s="43" customFormat="1" ht="13" x14ac:dyDescent="0.3">
      <c r="B5" s="4">
        <f>B4+1</f>
        <v>2</v>
      </c>
      <c r="C5" s="43" t="s">
        <v>1065</v>
      </c>
      <c r="D5" s="43" t="s">
        <v>1088</v>
      </c>
      <c r="E5" s="43" t="s">
        <v>92</v>
      </c>
      <c r="F5" s="43" t="s">
        <v>64</v>
      </c>
      <c r="G5" s="47">
        <v>45854</v>
      </c>
      <c r="H5" s="4" t="s">
        <v>65</v>
      </c>
      <c r="I5" s="4" t="s">
        <v>65</v>
      </c>
      <c r="J5" s="48">
        <v>2952.2217364988692</v>
      </c>
      <c r="K5" s="48">
        <v>2952.2217364988692</v>
      </c>
      <c r="L5" s="48">
        <f t="shared" ref="L5:L12" si="2">K5</f>
        <v>2952.2217364988692</v>
      </c>
      <c r="M5" s="49">
        <v>0</v>
      </c>
      <c r="N5" s="50">
        <v>33.500312470200001</v>
      </c>
      <c r="O5" s="43" t="s">
        <v>104</v>
      </c>
      <c r="P5" s="51">
        <v>441.7780682105232</v>
      </c>
      <c r="Q5" s="51">
        <f t="shared" ref="Q5:Q13" si="3">P5</f>
        <v>441.7780682105232</v>
      </c>
      <c r="R5" s="6">
        <v>0.14925236224132896</v>
      </c>
      <c r="S5" s="6">
        <v>0.14925236224132896</v>
      </c>
      <c r="T5" s="51">
        <f t="shared" ref="T5:T13" si="4">U5+V5</f>
        <v>441.7780682105232</v>
      </c>
      <c r="U5" s="51">
        <v>441.7780682105232</v>
      </c>
      <c r="V5" s="52">
        <v>0</v>
      </c>
      <c r="W5" s="48">
        <f t="shared" si="1"/>
        <v>1</v>
      </c>
      <c r="X5" s="53">
        <v>0</v>
      </c>
      <c r="Y5" s="53">
        <v>0</v>
      </c>
      <c r="Z5" s="53">
        <v>0</v>
      </c>
      <c r="AB5" s="43" t="s">
        <v>1064</v>
      </c>
      <c r="AE5" s="43" t="s">
        <v>69</v>
      </c>
      <c r="AF5" s="43" t="s">
        <v>275</v>
      </c>
      <c r="AG5" s="8"/>
    </row>
    <row r="6" spans="2:33" s="43" customFormat="1" ht="13" x14ac:dyDescent="0.3">
      <c r="B6" s="4">
        <f t="shared" ref="B6:B13" si="5">B5+1</f>
        <v>3</v>
      </c>
      <c r="C6" s="43" t="s">
        <v>1063</v>
      </c>
      <c r="D6" s="43" t="s">
        <v>1089</v>
      </c>
      <c r="E6" s="43" t="s">
        <v>92</v>
      </c>
      <c r="F6" s="43" t="s">
        <v>46</v>
      </c>
      <c r="G6" s="47">
        <v>45910</v>
      </c>
      <c r="H6" s="4" t="s">
        <v>65</v>
      </c>
      <c r="I6" s="4" t="s">
        <v>65</v>
      </c>
      <c r="J6" s="48">
        <v>1840.5193949999998</v>
      </c>
      <c r="K6" s="48">
        <v>2894.433861</v>
      </c>
      <c r="L6" s="48">
        <f t="shared" si="2"/>
        <v>2894.433861</v>
      </c>
      <c r="M6" s="49">
        <v>0</v>
      </c>
      <c r="N6" s="50">
        <v>33.330043427999996</v>
      </c>
      <c r="O6" s="43" t="s">
        <v>104</v>
      </c>
      <c r="P6" s="51">
        <v>324.11622462190348</v>
      </c>
      <c r="Q6" s="51">
        <f t="shared" si="3"/>
        <v>324.11622462190348</v>
      </c>
      <c r="R6" s="6">
        <v>6.9931094365436056E-2</v>
      </c>
      <c r="S6" s="6">
        <v>0.1248488952913944</v>
      </c>
      <c r="T6" s="51">
        <f t="shared" si="4"/>
        <v>324.11622462190348</v>
      </c>
      <c r="U6" s="51">
        <v>324.11622462190348</v>
      </c>
      <c r="V6" s="52">
        <v>0</v>
      </c>
      <c r="W6" s="48">
        <f t="shared" si="1"/>
        <v>1</v>
      </c>
      <c r="X6" s="53">
        <v>0</v>
      </c>
      <c r="Y6" s="53">
        <v>0</v>
      </c>
      <c r="Z6" s="53">
        <v>0</v>
      </c>
      <c r="AB6" s="43" t="s">
        <v>1062</v>
      </c>
      <c r="AE6" s="43" t="s">
        <v>36</v>
      </c>
      <c r="AF6" s="43" t="s">
        <v>275</v>
      </c>
      <c r="AG6" s="8"/>
    </row>
    <row r="7" spans="2:33" s="43" customFormat="1" ht="13" x14ac:dyDescent="0.3">
      <c r="B7" s="4">
        <f t="shared" si="5"/>
        <v>4</v>
      </c>
      <c r="C7" s="43" t="s">
        <v>1061</v>
      </c>
      <c r="D7" s="43" t="s">
        <v>1060</v>
      </c>
      <c r="E7" s="43" t="s">
        <v>81</v>
      </c>
      <c r="F7" s="43" t="s">
        <v>555</v>
      </c>
      <c r="G7" s="47">
        <v>45916</v>
      </c>
      <c r="H7" s="4" t="s">
        <v>32</v>
      </c>
      <c r="I7" s="4" t="s">
        <v>32</v>
      </c>
      <c r="J7" s="48">
        <v>1189.551512</v>
      </c>
      <c r="K7" s="48">
        <v>1189.551512</v>
      </c>
      <c r="L7" s="48">
        <f t="shared" si="2"/>
        <v>1189.551512</v>
      </c>
      <c r="M7" s="49">
        <v>0</v>
      </c>
      <c r="N7" s="50">
        <f t="shared" si="0"/>
        <v>1189.551512</v>
      </c>
      <c r="O7" s="43" t="s">
        <v>104</v>
      </c>
      <c r="P7" s="51">
        <v>250.02304800000002</v>
      </c>
      <c r="Q7" s="51">
        <f t="shared" si="3"/>
        <v>250.02304800000002</v>
      </c>
      <c r="R7" s="6">
        <v>0.21018306636155606</v>
      </c>
      <c r="S7" s="6">
        <v>0.21018306636155606</v>
      </c>
      <c r="T7" s="51">
        <f t="shared" si="4"/>
        <v>250.02304800000002</v>
      </c>
      <c r="U7" s="51">
        <v>250.02304800000002</v>
      </c>
      <c r="V7" s="52">
        <v>0</v>
      </c>
      <c r="W7" s="48">
        <f t="shared" si="1"/>
        <v>1</v>
      </c>
      <c r="X7" s="53">
        <v>0</v>
      </c>
      <c r="Y7" s="53">
        <v>0</v>
      </c>
      <c r="Z7" s="53">
        <v>0</v>
      </c>
      <c r="AB7" s="43" t="s">
        <v>1059</v>
      </c>
      <c r="AE7" s="43" t="s">
        <v>36</v>
      </c>
      <c r="AF7" s="43" t="s">
        <v>275</v>
      </c>
      <c r="AG7" s="8"/>
    </row>
    <row r="8" spans="2:33" s="43" customFormat="1" ht="13" x14ac:dyDescent="0.3">
      <c r="B8" s="4">
        <f t="shared" si="5"/>
        <v>5</v>
      </c>
      <c r="C8" s="43" t="s">
        <v>1090</v>
      </c>
      <c r="D8" s="43" t="s">
        <v>1058</v>
      </c>
      <c r="E8" s="43" t="s">
        <v>279</v>
      </c>
      <c r="F8" s="43" t="s">
        <v>182</v>
      </c>
      <c r="G8" s="47">
        <v>45916</v>
      </c>
      <c r="H8" s="4" t="s">
        <v>1049</v>
      </c>
      <c r="I8" s="4" t="s">
        <v>1049</v>
      </c>
      <c r="J8" s="48">
        <v>950</v>
      </c>
      <c r="K8" s="48">
        <v>950</v>
      </c>
      <c r="L8" s="48">
        <f t="shared" si="2"/>
        <v>950</v>
      </c>
      <c r="M8" s="49">
        <v>0</v>
      </c>
      <c r="N8" s="50">
        <f t="shared" si="0"/>
        <v>950</v>
      </c>
      <c r="O8" s="43" t="s">
        <v>104</v>
      </c>
      <c r="P8" s="51">
        <v>80.750083000000004</v>
      </c>
      <c r="Q8" s="51">
        <f t="shared" si="3"/>
        <v>80.750083000000004</v>
      </c>
      <c r="R8" s="6">
        <v>0.16999973751520225</v>
      </c>
      <c r="S8" s="6">
        <v>0.16999973751520225</v>
      </c>
      <c r="T8" s="51">
        <f t="shared" si="4"/>
        <v>80.750083000000004</v>
      </c>
      <c r="U8" s="51">
        <v>80.750083000000004</v>
      </c>
      <c r="V8" s="52">
        <v>0</v>
      </c>
      <c r="W8" s="48">
        <f t="shared" si="1"/>
        <v>1</v>
      </c>
      <c r="X8" s="53">
        <v>0</v>
      </c>
      <c r="Y8" s="53">
        <v>0</v>
      </c>
      <c r="Z8" s="53">
        <v>0</v>
      </c>
      <c r="AB8" s="43" t="s">
        <v>1057</v>
      </c>
      <c r="AE8" s="43" t="s">
        <v>43</v>
      </c>
      <c r="AF8" s="43" t="s">
        <v>275</v>
      </c>
      <c r="AG8" s="8"/>
    </row>
    <row r="9" spans="2:33" s="43" customFormat="1" ht="13" x14ac:dyDescent="0.3">
      <c r="B9" s="4">
        <f t="shared" si="5"/>
        <v>6</v>
      </c>
      <c r="C9" s="43" t="s">
        <v>1056</v>
      </c>
      <c r="D9" s="43" t="s">
        <v>1085</v>
      </c>
      <c r="E9" s="43" t="s">
        <v>30</v>
      </c>
      <c r="F9" s="43" t="s">
        <v>555</v>
      </c>
      <c r="G9" s="47">
        <v>45874</v>
      </c>
      <c r="H9" s="4" t="s">
        <v>32</v>
      </c>
      <c r="I9" s="4" t="s">
        <v>32</v>
      </c>
      <c r="J9" s="48">
        <v>400</v>
      </c>
      <c r="K9" s="48">
        <v>400</v>
      </c>
      <c r="L9" s="48">
        <f t="shared" si="2"/>
        <v>400</v>
      </c>
      <c r="M9" s="49">
        <v>0</v>
      </c>
      <c r="N9" s="50">
        <f t="shared" si="0"/>
        <v>400</v>
      </c>
      <c r="O9" s="43" t="s">
        <v>104</v>
      </c>
      <c r="P9" s="51">
        <v>72.099999999999994</v>
      </c>
      <c r="Q9" s="51">
        <f t="shared" si="3"/>
        <v>72.099999999999994</v>
      </c>
      <c r="R9" s="6">
        <v>0.18024999999999999</v>
      </c>
      <c r="S9" s="6">
        <v>0.18024999999999999</v>
      </c>
      <c r="T9" s="51">
        <f t="shared" si="4"/>
        <v>72.099999999999994</v>
      </c>
      <c r="U9" s="51">
        <v>72.099999999999994</v>
      </c>
      <c r="V9" s="52">
        <v>0</v>
      </c>
      <c r="W9" s="48">
        <f t="shared" si="1"/>
        <v>1</v>
      </c>
      <c r="X9" s="53">
        <v>0</v>
      </c>
      <c r="Y9" s="53">
        <v>0</v>
      </c>
      <c r="Z9" s="53">
        <v>0</v>
      </c>
      <c r="AB9" s="43" t="s">
        <v>1055</v>
      </c>
      <c r="AE9" s="43" t="s">
        <v>145</v>
      </c>
      <c r="AF9" s="43" t="s">
        <v>275</v>
      </c>
      <c r="AG9" s="8"/>
    </row>
    <row r="10" spans="2:33" s="43" customFormat="1" ht="13" x14ac:dyDescent="0.3">
      <c r="B10" s="4">
        <f t="shared" si="5"/>
        <v>7</v>
      </c>
      <c r="C10" s="43" t="s">
        <v>1054</v>
      </c>
      <c r="D10" s="43" t="s">
        <v>1053</v>
      </c>
      <c r="E10" s="43" t="s">
        <v>279</v>
      </c>
      <c r="F10" s="43" t="s">
        <v>555</v>
      </c>
      <c r="G10" s="47">
        <v>45888</v>
      </c>
      <c r="H10" s="4" t="s">
        <v>1045</v>
      </c>
      <c r="I10" s="4" t="s">
        <v>374</v>
      </c>
      <c r="J10" s="48">
        <v>1024.5157999999999</v>
      </c>
      <c r="K10" s="48">
        <v>1135.1977999999999</v>
      </c>
      <c r="L10" s="48">
        <f t="shared" si="2"/>
        <v>1135.1977999999999</v>
      </c>
      <c r="M10" s="49">
        <v>0</v>
      </c>
      <c r="N10" s="50">
        <f t="shared" si="0"/>
        <v>1135.1977999999999</v>
      </c>
      <c r="O10" s="43" t="s">
        <v>104</v>
      </c>
      <c r="P10" s="51">
        <v>221.42834400000001</v>
      </c>
      <c r="Q10" s="51">
        <f t="shared" si="3"/>
        <v>221.42834400000001</v>
      </c>
      <c r="R10" s="6">
        <v>0.10808570343970028</v>
      </c>
      <c r="S10" s="6">
        <v>0.19499953414815058</v>
      </c>
      <c r="T10" s="51">
        <f t="shared" si="4"/>
        <v>221.42834400000001</v>
      </c>
      <c r="U10" s="51">
        <v>221.42834400000001</v>
      </c>
      <c r="V10" s="52">
        <v>0</v>
      </c>
      <c r="W10" s="48">
        <f t="shared" si="1"/>
        <v>1</v>
      </c>
      <c r="X10" s="53">
        <v>0</v>
      </c>
      <c r="Y10" s="53">
        <v>0</v>
      </c>
      <c r="Z10" s="53">
        <v>0</v>
      </c>
      <c r="AB10" s="43" t="s">
        <v>1052</v>
      </c>
      <c r="AE10" s="43" t="s">
        <v>145</v>
      </c>
      <c r="AF10" s="43" t="s">
        <v>275</v>
      </c>
      <c r="AG10" s="8"/>
    </row>
    <row r="11" spans="2:33" s="43" customFormat="1" ht="13" x14ac:dyDescent="0.3">
      <c r="B11" s="4">
        <f t="shared" si="5"/>
        <v>8</v>
      </c>
      <c r="C11" s="43" t="s">
        <v>1051</v>
      </c>
      <c r="D11" s="43" t="s">
        <v>1050</v>
      </c>
      <c r="E11" s="43" t="s">
        <v>81</v>
      </c>
      <c r="F11" s="43" t="s">
        <v>55</v>
      </c>
      <c r="G11" s="47">
        <v>45867</v>
      </c>
      <c r="H11" s="4" t="s">
        <v>1049</v>
      </c>
      <c r="I11" s="4" t="s">
        <v>1048</v>
      </c>
      <c r="J11" s="48">
        <v>615.17993850000005</v>
      </c>
      <c r="K11" s="48">
        <v>4497.1449999999995</v>
      </c>
      <c r="L11" s="48">
        <f t="shared" si="2"/>
        <v>4497.1449999999995</v>
      </c>
      <c r="M11" s="49">
        <v>0</v>
      </c>
      <c r="N11" s="50">
        <f t="shared" si="0"/>
        <v>4497.1449999999995</v>
      </c>
      <c r="O11" s="43" t="s">
        <v>104</v>
      </c>
      <c r="P11" s="51">
        <v>311.80041299999999</v>
      </c>
      <c r="Q11" s="51">
        <f t="shared" si="3"/>
        <v>311.80041299999999</v>
      </c>
      <c r="R11" s="6">
        <v>5.7855771867288179E-2</v>
      </c>
      <c r="S11" s="6">
        <v>0.15386160265994242</v>
      </c>
      <c r="T11" s="51">
        <f t="shared" si="4"/>
        <v>311.80041299999999</v>
      </c>
      <c r="U11" s="51">
        <v>311.80041299999999</v>
      </c>
      <c r="V11" s="52">
        <v>0</v>
      </c>
      <c r="W11" s="48">
        <f t="shared" si="1"/>
        <v>1</v>
      </c>
      <c r="X11" s="53">
        <v>0</v>
      </c>
      <c r="Y11" s="53">
        <v>0</v>
      </c>
      <c r="Z11" s="53">
        <v>0</v>
      </c>
      <c r="AB11" s="43" t="s">
        <v>1071</v>
      </c>
      <c r="AE11" s="43" t="s">
        <v>60</v>
      </c>
      <c r="AF11" s="43" t="s">
        <v>275</v>
      </c>
      <c r="AG11" s="8"/>
    </row>
    <row r="12" spans="2:33" s="43" customFormat="1" ht="13" x14ac:dyDescent="0.3">
      <c r="B12" s="4">
        <f t="shared" si="5"/>
        <v>9</v>
      </c>
      <c r="C12" s="43" t="s">
        <v>1047</v>
      </c>
      <c r="D12" s="43" t="s">
        <v>1046</v>
      </c>
      <c r="E12" s="43" t="s">
        <v>81</v>
      </c>
      <c r="F12" s="43" t="s">
        <v>55</v>
      </c>
      <c r="G12" s="47">
        <v>45937</v>
      </c>
      <c r="H12" s="4" t="s">
        <v>1045</v>
      </c>
      <c r="I12" s="4" t="s">
        <v>1045</v>
      </c>
      <c r="J12" s="48">
        <v>1215.6992600000001</v>
      </c>
      <c r="K12" s="48">
        <v>1215.6992600000001</v>
      </c>
      <c r="L12" s="48">
        <f t="shared" si="2"/>
        <v>1215.6992600000001</v>
      </c>
      <c r="M12" s="49">
        <v>0</v>
      </c>
      <c r="N12" s="50">
        <f t="shared" si="0"/>
        <v>1215.6992600000001</v>
      </c>
      <c r="O12" s="43" t="s">
        <v>104</v>
      </c>
      <c r="P12" s="51">
        <v>50.000413320000007</v>
      </c>
      <c r="Q12" s="51">
        <f t="shared" si="3"/>
        <v>50.000413320000007</v>
      </c>
      <c r="R12" s="6">
        <v>4.0837026857761527E-2</v>
      </c>
      <c r="S12" s="6">
        <v>4.0837026857761527E-2</v>
      </c>
      <c r="T12" s="51">
        <f t="shared" si="4"/>
        <v>50.000413320000007</v>
      </c>
      <c r="U12" s="51">
        <v>50.000413320000007</v>
      </c>
      <c r="V12" s="52">
        <v>0</v>
      </c>
      <c r="W12" s="48">
        <f t="shared" si="1"/>
        <v>1</v>
      </c>
      <c r="X12" s="53">
        <v>0</v>
      </c>
      <c r="Y12" s="53">
        <v>0</v>
      </c>
      <c r="Z12" s="53">
        <v>0</v>
      </c>
      <c r="AB12" s="43" t="s">
        <v>1044</v>
      </c>
      <c r="AE12" s="43" t="s">
        <v>60</v>
      </c>
      <c r="AF12" s="43" t="s">
        <v>275</v>
      </c>
      <c r="AG12" s="8"/>
    </row>
    <row r="13" spans="2:33" s="43" customFormat="1" ht="13" x14ac:dyDescent="0.3">
      <c r="B13" s="4">
        <f t="shared" si="5"/>
        <v>10</v>
      </c>
      <c r="C13" s="43" t="s">
        <v>1081</v>
      </c>
      <c r="D13" s="43" t="s">
        <v>1082</v>
      </c>
      <c r="E13" s="43" t="s">
        <v>92</v>
      </c>
      <c r="F13" s="43" t="s">
        <v>1083</v>
      </c>
      <c r="G13" s="47">
        <v>46006</v>
      </c>
      <c r="H13" s="4" t="s">
        <v>1084</v>
      </c>
      <c r="I13" s="4" t="s">
        <v>1084</v>
      </c>
      <c r="J13" s="48" t="s">
        <v>49</v>
      </c>
      <c r="K13" s="48" t="s">
        <v>49</v>
      </c>
      <c r="L13" s="48" t="s">
        <v>49</v>
      </c>
      <c r="M13" s="49">
        <v>0</v>
      </c>
      <c r="N13" s="50" t="s">
        <v>49</v>
      </c>
      <c r="O13" s="43" t="s">
        <v>104</v>
      </c>
      <c r="P13" s="51">
        <v>22.680699999999998</v>
      </c>
      <c r="Q13" s="51">
        <f t="shared" si="3"/>
        <v>22.680699999999998</v>
      </c>
      <c r="R13" s="6" t="s">
        <v>49</v>
      </c>
      <c r="S13" s="6" t="s">
        <v>49</v>
      </c>
      <c r="T13" s="51">
        <f t="shared" si="4"/>
        <v>22.680699999999998</v>
      </c>
      <c r="U13" s="51">
        <v>22.680699999999998</v>
      </c>
      <c r="V13" s="52">
        <v>0</v>
      </c>
      <c r="W13" s="48">
        <f t="shared" si="1"/>
        <v>1</v>
      </c>
      <c r="X13" s="53">
        <v>0</v>
      </c>
      <c r="Y13" s="53">
        <v>0</v>
      </c>
      <c r="Z13" s="53">
        <v>0</v>
      </c>
      <c r="AF13" s="43" t="s">
        <v>275</v>
      </c>
      <c r="AG13" s="8"/>
    </row>
    <row r="14" spans="2:33" x14ac:dyDescent="0.35">
      <c r="B14" s="44"/>
      <c r="C14" s="44"/>
      <c r="D14" s="44"/>
      <c r="E14" s="44"/>
      <c r="F14" s="44"/>
      <c r="G14" s="44"/>
      <c r="H14" s="44"/>
      <c r="I14" s="44"/>
      <c r="J14" s="54"/>
      <c r="K14" s="54"/>
      <c r="L14" s="54"/>
      <c r="M14" s="44"/>
      <c r="N14" s="54"/>
      <c r="O14" s="44"/>
      <c r="P14" s="55">
        <f>SUM(P3:P13)</f>
        <v>1891.4764591524263</v>
      </c>
      <c r="Q14" s="55">
        <f>SUM(Q3:Q13)</f>
        <v>1891.4764591524263</v>
      </c>
      <c r="R14" s="45"/>
      <c r="S14" s="45"/>
      <c r="T14" s="55">
        <f>SUM(T3:T13)</f>
        <v>1891.4764591524263</v>
      </c>
      <c r="U14" s="55">
        <f>SUM(U3:U13)</f>
        <v>1891.4764591524263</v>
      </c>
      <c r="V14" s="56">
        <v>0</v>
      </c>
      <c r="W14" s="57">
        <f t="shared" si="1"/>
        <v>1</v>
      </c>
      <c r="X14" s="45"/>
      <c r="Y14" s="44"/>
      <c r="Z14" s="44"/>
      <c r="AA14" s="44"/>
      <c r="AB14" s="58"/>
      <c r="AC14" s="44"/>
      <c r="AD14" s="44"/>
      <c r="AE14" s="44"/>
      <c r="AF14" s="44"/>
      <c r="AG14" s="59"/>
    </row>
    <row r="18" spans="2:2" x14ac:dyDescent="0.35">
      <c r="B18" s="1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C24F5-F30F-4182-8135-7C816AB1006F}">
  <dimension ref="B2:AF19"/>
  <sheetViews>
    <sheetView showGridLines="0" zoomScaleNormal="100" workbookViewId="0">
      <pane xSplit="4" ySplit="3" topLeftCell="S4" activePane="bottomRight" state="frozen"/>
      <selection activeCell="T12" sqref="B1:AI56"/>
      <selection pane="topRight" activeCell="T12" sqref="B1:AI56"/>
      <selection pane="bottomLeft" activeCell="T12" sqref="B1:AI56"/>
      <selection pane="bottomRight" activeCell="T15" sqref="T15"/>
    </sheetView>
  </sheetViews>
  <sheetFormatPr defaultColWidth="8.6328125" defaultRowHeight="13" x14ac:dyDescent="0.3"/>
  <cols>
    <col min="1" max="1" width="4.08984375" style="43" customWidth="1"/>
    <col min="2" max="2" width="8.6328125" style="43"/>
    <col min="3" max="3" width="38.36328125" style="43" customWidth="1"/>
    <col min="4" max="4" width="21.90625" style="43" customWidth="1"/>
    <col min="5" max="5" width="14.6328125" style="43" customWidth="1"/>
    <col min="6" max="6" width="22.36328125" style="43" bestFit="1" customWidth="1"/>
    <col min="7" max="7" width="14.6328125" style="43" customWidth="1"/>
    <col min="8" max="8" width="16.90625" style="43" customWidth="1"/>
    <col min="9" max="9" width="16.6328125" style="43" customWidth="1"/>
    <col min="10" max="10" width="15" style="43" bestFit="1" customWidth="1"/>
    <col min="11" max="12" width="18.36328125" style="43" bestFit="1" customWidth="1"/>
    <col min="13" max="13" width="16" style="43" bestFit="1" customWidth="1"/>
    <col min="14" max="14" width="15.6328125" style="43" bestFit="1" customWidth="1"/>
    <col min="15" max="15" width="16.6328125" style="43" customWidth="1"/>
    <col min="16" max="17" width="18.6328125" style="67" customWidth="1"/>
    <col min="18" max="19" width="18.6328125" style="43" customWidth="1"/>
    <col min="20" max="23" width="18.6328125" style="67" customWidth="1"/>
    <col min="24" max="24" width="18.6328125" style="68" customWidth="1"/>
    <col min="25" max="25" width="11.54296875" style="43" customWidth="1"/>
    <col min="26" max="26" width="9.453125" style="116" customWidth="1"/>
    <col min="27" max="27" width="38.54296875" style="43" customWidth="1"/>
    <col min="28" max="28" width="55.453125" style="43" customWidth="1"/>
    <col min="29" max="29" width="46.6328125" style="43" bestFit="1" customWidth="1"/>
    <col min="30" max="30" width="17.453125" style="43" bestFit="1" customWidth="1"/>
    <col min="31" max="31" width="12" style="43" customWidth="1"/>
    <col min="32" max="32" width="11.08984375" style="43" customWidth="1"/>
    <col min="33" max="16384" width="8.6328125" style="43"/>
  </cols>
  <sheetData>
    <row r="2" spans="2:32" ht="39" x14ac:dyDescent="0.3">
      <c r="B2" s="40" t="s">
        <v>0</v>
      </c>
      <c r="C2" s="40" t="s">
        <v>1</v>
      </c>
      <c r="D2" s="40" t="s">
        <v>2</v>
      </c>
      <c r="E2" s="40" t="s">
        <v>3</v>
      </c>
      <c r="F2" s="40" t="s">
        <v>4</v>
      </c>
      <c r="G2" s="40" t="s">
        <v>5</v>
      </c>
      <c r="H2" s="40" t="s">
        <v>6</v>
      </c>
      <c r="I2" s="40" t="s">
        <v>7</v>
      </c>
      <c r="J2" s="40" t="s">
        <v>8</v>
      </c>
      <c r="K2" s="40" t="s">
        <v>9</v>
      </c>
      <c r="L2" s="41" t="s">
        <v>10</v>
      </c>
      <c r="M2" s="41" t="s">
        <v>11</v>
      </c>
      <c r="N2" s="41" t="s">
        <v>12</v>
      </c>
      <c r="O2" s="40" t="s">
        <v>13</v>
      </c>
      <c r="P2" s="73" t="s">
        <v>14</v>
      </c>
      <c r="Q2" s="73" t="s">
        <v>15</v>
      </c>
      <c r="R2" s="41" t="s">
        <v>621</v>
      </c>
      <c r="S2" s="41" t="s">
        <v>622</v>
      </c>
      <c r="T2" s="73" t="s">
        <v>16</v>
      </c>
      <c r="U2" s="73" t="s">
        <v>17</v>
      </c>
      <c r="V2" s="73" t="s">
        <v>18</v>
      </c>
      <c r="W2" s="73" t="s">
        <v>19</v>
      </c>
      <c r="X2" s="42" t="s">
        <v>1132</v>
      </c>
      <c r="Y2" s="41" t="s">
        <v>20</v>
      </c>
      <c r="Z2" s="112" t="s">
        <v>21</v>
      </c>
      <c r="AA2" s="40" t="s">
        <v>22</v>
      </c>
      <c r="AB2" s="40" t="s">
        <v>955</v>
      </c>
      <c r="AC2" s="40" t="s">
        <v>23</v>
      </c>
      <c r="AD2" s="40" t="s">
        <v>24</v>
      </c>
      <c r="AE2" s="40" t="s">
        <v>25</v>
      </c>
      <c r="AF2" s="40" t="s">
        <v>265</v>
      </c>
    </row>
    <row r="3" spans="2:32" x14ac:dyDescent="0.3">
      <c r="B3" s="44"/>
      <c r="C3" s="44"/>
      <c r="D3" s="44"/>
      <c r="E3" s="44"/>
      <c r="F3" s="44"/>
      <c r="G3" s="44" t="s">
        <v>26</v>
      </c>
      <c r="H3" s="44"/>
      <c r="I3" s="44"/>
      <c r="J3" s="44" t="s">
        <v>1129</v>
      </c>
      <c r="K3" s="44" t="s">
        <v>1129</v>
      </c>
      <c r="L3" s="44" t="s">
        <v>1129</v>
      </c>
      <c r="M3" s="44"/>
      <c r="N3" s="44" t="s">
        <v>1129</v>
      </c>
      <c r="O3" s="44"/>
      <c r="P3" s="44" t="s">
        <v>1129</v>
      </c>
      <c r="Q3" s="44" t="s">
        <v>1129</v>
      </c>
      <c r="R3" s="44" t="s">
        <v>27</v>
      </c>
      <c r="S3" s="44" t="s">
        <v>27</v>
      </c>
      <c r="T3" s="44" t="s">
        <v>1129</v>
      </c>
      <c r="U3" s="44" t="s">
        <v>1129</v>
      </c>
      <c r="V3" s="44" t="s">
        <v>1129</v>
      </c>
      <c r="W3" s="54" t="s">
        <v>268</v>
      </c>
      <c r="X3" s="45" t="s">
        <v>27</v>
      </c>
      <c r="Y3" s="44"/>
      <c r="Z3" s="113"/>
      <c r="AA3" s="44"/>
      <c r="AB3" s="44"/>
      <c r="AC3" s="44"/>
      <c r="AD3" s="44"/>
      <c r="AE3" s="44"/>
      <c r="AF3" s="44"/>
    </row>
    <row r="4" spans="2:32" x14ac:dyDescent="0.3">
      <c r="B4" s="4">
        <v>1</v>
      </c>
      <c r="C4" s="43" t="s">
        <v>577</v>
      </c>
      <c r="D4" s="8" t="s">
        <v>578</v>
      </c>
      <c r="E4" s="43" t="s">
        <v>92</v>
      </c>
      <c r="F4" s="43" t="s">
        <v>182</v>
      </c>
      <c r="G4" s="114">
        <v>43329</v>
      </c>
      <c r="H4" s="43" t="s">
        <v>66</v>
      </c>
      <c r="I4" s="43" t="s">
        <v>418</v>
      </c>
      <c r="J4" s="115">
        <v>29734.07</v>
      </c>
      <c r="K4" s="85">
        <f>'Fund IA'!K5</f>
        <v>41634.549999999996</v>
      </c>
      <c r="L4" s="85">
        <f>K4</f>
        <v>41634.549999999996</v>
      </c>
      <c r="M4" s="107">
        <v>0.3</v>
      </c>
      <c r="N4" s="85">
        <f>L4*(1-M4)</f>
        <v>29144.184999999994</v>
      </c>
      <c r="O4" s="43" t="s">
        <v>977</v>
      </c>
      <c r="P4" s="103">
        <v>366.80050304948003</v>
      </c>
      <c r="Q4" s="103">
        <v>366.80050304948003</v>
      </c>
      <c r="R4" s="68">
        <v>1.2379046104703688E-2</v>
      </c>
      <c r="S4" s="68">
        <v>8.7604624680724559E-3</v>
      </c>
      <c r="T4" s="67">
        <f>U4+V4</f>
        <v>341.45011574283603</v>
      </c>
      <c r="U4" s="103">
        <v>341.45011574283603</v>
      </c>
      <c r="V4" s="105">
        <v>0</v>
      </c>
      <c r="W4" s="50">
        <f>T4/P4</f>
        <v>0.93088780659817061</v>
      </c>
      <c r="X4" s="68">
        <v>-9.915982421953233E-3</v>
      </c>
      <c r="AA4" s="43" t="s">
        <v>441</v>
      </c>
      <c r="AB4" s="43" t="s">
        <v>442</v>
      </c>
      <c r="AC4" s="43" t="s">
        <v>443</v>
      </c>
      <c r="AD4" s="43" t="s">
        <v>69</v>
      </c>
      <c r="AE4" s="43" t="s">
        <v>36</v>
      </c>
      <c r="AF4" s="43" t="s">
        <v>275</v>
      </c>
    </row>
    <row r="5" spans="2:32" x14ac:dyDescent="0.3">
      <c r="B5" s="4">
        <v>2</v>
      </c>
      <c r="C5" s="43" t="s">
        <v>416</v>
      </c>
      <c r="D5" s="43" t="s">
        <v>270</v>
      </c>
      <c r="E5" s="43" t="s">
        <v>81</v>
      </c>
      <c r="F5" s="43" t="s">
        <v>271</v>
      </c>
      <c r="G5" s="114">
        <v>43340</v>
      </c>
      <c r="H5" s="43" t="s">
        <v>111</v>
      </c>
      <c r="I5" s="43" t="s">
        <v>47</v>
      </c>
      <c r="J5" s="53">
        <v>3065.66</v>
      </c>
      <c r="K5" s="85">
        <v>106410.97626136146</v>
      </c>
      <c r="L5" s="85">
        <v>106410.97626136146</v>
      </c>
      <c r="M5" s="107">
        <v>0.11516728096038864</v>
      </c>
      <c r="N5" s="85">
        <f>L5*(1-M5)</f>
        <v>94155.913461000004</v>
      </c>
      <c r="O5" s="43" t="s">
        <v>1122</v>
      </c>
      <c r="P5" s="103">
        <v>113.01638300000002</v>
      </c>
      <c r="Q5" s="104">
        <v>57.002210659045069</v>
      </c>
      <c r="R5" s="68">
        <v>8.1580077286389011E-3</v>
      </c>
      <c r="S5" s="68">
        <v>5.6911969657558554E-3</v>
      </c>
      <c r="T5" s="67">
        <f t="shared" ref="T5:T15" si="0">U5+V5</f>
        <v>1156.9834510000001</v>
      </c>
      <c r="U5" s="103">
        <v>569.22974999999997</v>
      </c>
      <c r="V5" s="105">
        <v>587.75370099999998</v>
      </c>
      <c r="W5" s="50">
        <f t="shared" ref="W5:W15" si="1">T5/P5</f>
        <v>10.237307373392049</v>
      </c>
      <c r="X5" s="68">
        <v>0.42247982910156257</v>
      </c>
      <c r="Y5" s="43" t="s">
        <v>1019</v>
      </c>
      <c r="Z5" s="116">
        <f>V5/(P5-Q5)</f>
        <v>10.492946274781639</v>
      </c>
      <c r="AA5" s="43" t="s">
        <v>272</v>
      </c>
      <c r="AB5" s="43" t="s">
        <v>273</v>
      </c>
      <c r="AC5" s="43" t="s">
        <v>274</v>
      </c>
      <c r="AD5" s="43" t="s">
        <v>36</v>
      </c>
      <c r="AE5" s="43" t="s">
        <v>60</v>
      </c>
      <c r="AF5" s="43" t="s">
        <v>689</v>
      </c>
    </row>
    <row r="6" spans="2:32" x14ac:dyDescent="0.3">
      <c r="B6" s="4">
        <v>3</v>
      </c>
      <c r="C6" s="43" t="s">
        <v>579</v>
      </c>
      <c r="D6" s="43" t="s">
        <v>316</v>
      </c>
      <c r="E6" s="43" t="s">
        <v>279</v>
      </c>
      <c r="F6" s="43" t="s">
        <v>40</v>
      </c>
      <c r="G6" s="114">
        <v>43455</v>
      </c>
      <c r="H6" s="43" t="s">
        <v>111</v>
      </c>
      <c r="I6" s="43" t="s">
        <v>418</v>
      </c>
      <c r="J6" s="53">
        <v>2467.8750135968598</v>
      </c>
      <c r="K6" s="85">
        <v>11500</v>
      </c>
      <c r="L6" s="85">
        <f>K6</f>
        <v>11500</v>
      </c>
      <c r="M6" s="117">
        <v>0</v>
      </c>
      <c r="N6" s="85">
        <f t="shared" ref="N6:N15" si="2">L6*(1-M6)</f>
        <v>11500</v>
      </c>
      <c r="O6" s="43" t="s">
        <v>1123</v>
      </c>
      <c r="P6" s="103">
        <v>209.00493799999998</v>
      </c>
      <c r="Q6" s="104">
        <v>2.9536417521252538</v>
      </c>
      <c r="R6" s="68">
        <v>2.6338657932416153E-2</v>
      </c>
      <c r="S6" s="68">
        <v>3.1957385452250762E-2</v>
      </c>
      <c r="T6" s="67">
        <f t="shared" si="0"/>
        <v>390.80013795481983</v>
      </c>
      <c r="U6" s="103">
        <v>390.80013795481983</v>
      </c>
      <c r="V6" s="105">
        <v>0</v>
      </c>
      <c r="W6" s="50">
        <f t="shared" si="1"/>
        <v>1.8698129417153764</v>
      </c>
      <c r="X6" s="68">
        <v>0.10321615722656251</v>
      </c>
      <c r="AA6" s="43" t="s">
        <v>317</v>
      </c>
      <c r="AB6" s="43" t="s">
        <v>1078</v>
      </c>
      <c r="AC6" s="43" t="s">
        <v>51</v>
      </c>
      <c r="AD6" s="43" t="s">
        <v>36</v>
      </c>
      <c r="AE6" s="43" t="s">
        <v>36</v>
      </c>
      <c r="AF6" s="43" t="s">
        <v>275</v>
      </c>
    </row>
    <row r="7" spans="2:32" x14ac:dyDescent="0.3">
      <c r="B7" s="4">
        <v>4</v>
      </c>
      <c r="C7" s="43" t="s">
        <v>419</v>
      </c>
      <c r="D7" s="43" t="s">
        <v>420</v>
      </c>
      <c r="E7" s="43" t="s">
        <v>81</v>
      </c>
      <c r="F7" s="43" t="s">
        <v>55</v>
      </c>
      <c r="G7" s="114">
        <v>43362</v>
      </c>
      <c r="H7" s="43" t="s">
        <v>66</v>
      </c>
      <c r="I7" s="43" t="s">
        <v>41</v>
      </c>
      <c r="J7" s="115">
        <v>3693.2500000000005</v>
      </c>
      <c r="K7" s="85">
        <v>65190.93</v>
      </c>
      <c r="L7" s="85">
        <f>K7</f>
        <v>65190.93</v>
      </c>
      <c r="M7" s="107">
        <v>0.2</v>
      </c>
      <c r="N7" s="85">
        <f t="shared" si="2"/>
        <v>52152.744000000006</v>
      </c>
      <c r="O7" s="43" t="s">
        <v>1124</v>
      </c>
      <c r="P7" s="103">
        <v>179.41715400000007</v>
      </c>
      <c r="Q7" s="103">
        <v>179.41715400000007</v>
      </c>
      <c r="R7" s="68">
        <v>1.8181839842956741E-2</v>
      </c>
      <c r="S7" s="68">
        <v>1.7500000000000002E-2</v>
      </c>
      <c r="T7" s="67">
        <f t="shared" si="0"/>
        <v>910.16635065599996</v>
      </c>
      <c r="U7" s="103">
        <v>910.16635065599996</v>
      </c>
      <c r="V7" s="105">
        <v>0</v>
      </c>
      <c r="W7" s="50">
        <f t="shared" si="1"/>
        <v>5.0729059644765053</v>
      </c>
      <c r="X7" s="68">
        <v>0.29024032714843739</v>
      </c>
      <c r="AA7" s="43" t="s">
        <v>422</v>
      </c>
      <c r="AB7" s="43" t="s">
        <v>423</v>
      </c>
      <c r="AC7" s="43" t="s">
        <v>288</v>
      </c>
      <c r="AD7" s="43" t="s">
        <v>52</v>
      </c>
      <c r="AE7" s="43" t="s">
        <v>60</v>
      </c>
      <c r="AF7" s="43" t="s">
        <v>275</v>
      </c>
    </row>
    <row r="8" spans="2:32" x14ac:dyDescent="0.3">
      <c r="B8" s="4">
        <v>5</v>
      </c>
      <c r="C8" s="43" t="s">
        <v>28</v>
      </c>
      <c r="D8" s="43" t="s">
        <v>29</v>
      </c>
      <c r="E8" s="43" t="s">
        <v>299</v>
      </c>
      <c r="F8" s="118" t="s">
        <v>31</v>
      </c>
      <c r="G8" s="114">
        <v>43281</v>
      </c>
      <c r="H8" s="43" t="s">
        <v>418</v>
      </c>
      <c r="I8" s="43" t="s">
        <v>33</v>
      </c>
      <c r="J8" s="115">
        <v>15751.648861</v>
      </c>
      <c r="K8" s="85">
        <v>251219.20183999999</v>
      </c>
      <c r="L8" s="85">
        <f>K8</f>
        <v>251219.20183999999</v>
      </c>
      <c r="M8" s="107">
        <v>0.91281097419204804</v>
      </c>
      <c r="N8" s="85">
        <f t="shared" si="2"/>
        <v>21903.557472680852</v>
      </c>
      <c r="O8" s="43" t="str">
        <f>'Fund II'!O4</f>
        <v>Valued at $300 Mn basis the M&amp;A offer received</v>
      </c>
      <c r="P8" s="103">
        <v>540.09573866000005</v>
      </c>
      <c r="Q8" s="104">
        <v>540.09573866000005</v>
      </c>
      <c r="R8" s="68">
        <v>2.2230359950886413E-2</v>
      </c>
      <c r="S8" s="68">
        <v>1.72E-2</v>
      </c>
      <c r="T8" s="67">
        <f t="shared" si="0"/>
        <v>294.57842200000084</v>
      </c>
      <c r="U8" s="103">
        <v>294.57842200000084</v>
      </c>
      <c r="V8" s="105">
        <v>0</v>
      </c>
      <c r="W8" s="50">
        <f t="shared" si="1"/>
        <v>0.54541889689939438</v>
      </c>
      <c r="X8" s="68">
        <v>4.8828125000000004E-9</v>
      </c>
      <c r="AA8" s="43" t="s">
        <v>34</v>
      </c>
      <c r="AB8" s="43" t="s">
        <v>580</v>
      </c>
      <c r="AC8" s="43" t="s">
        <v>35</v>
      </c>
      <c r="AD8" s="43" t="s">
        <v>36</v>
      </c>
      <c r="AE8" s="43" t="s">
        <v>36</v>
      </c>
      <c r="AF8" s="43" t="s">
        <v>275</v>
      </c>
    </row>
    <row r="9" spans="2:32" x14ac:dyDescent="0.3">
      <c r="B9" s="4">
        <v>6</v>
      </c>
      <c r="C9" s="43" t="s">
        <v>44</v>
      </c>
      <c r="D9" s="43" t="s">
        <v>45</v>
      </c>
      <c r="E9" s="43" t="s">
        <v>299</v>
      </c>
      <c r="F9" s="118" t="s">
        <v>46</v>
      </c>
      <c r="G9" s="114">
        <v>43410</v>
      </c>
      <c r="H9" s="43" t="s">
        <v>66</v>
      </c>
      <c r="I9" s="43" t="s">
        <v>47</v>
      </c>
      <c r="J9" s="115">
        <v>3747.5860031999996</v>
      </c>
      <c r="K9" s="85">
        <f>'Fund II'!K6</f>
        <v>60913.134579804959</v>
      </c>
      <c r="L9" s="85">
        <f t="shared" ref="L9:L10" si="3">K9</f>
        <v>60913.134579804959</v>
      </c>
      <c r="M9" s="107">
        <v>1</v>
      </c>
      <c r="N9" s="85">
        <f t="shared" si="2"/>
        <v>0</v>
      </c>
      <c r="O9" s="43" t="s">
        <v>552</v>
      </c>
      <c r="P9" s="103">
        <v>287.65933200000001</v>
      </c>
      <c r="Q9" s="104">
        <v>287.65933200000001</v>
      </c>
      <c r="R9" s="68">
        <v>1.9137503444475061E-2</v>
      </c>
      <c r="S9" s="68">
        <f>5435/299736</f>
        <v>1.8132623375236877E-2</v>
      </c>
      <c r="T9" s="67">
        <f t="shared" si="0"/>
        <v>0</v>
      </c>
      <c r="U9" s="103">
        <v>0</v>
      </c>
      <c r="V9" s="105">
        <v>0</v>
      </c>
      <c r="W9" s="50">
        <f t="shared" si="1"/>
        <v>0</v>
      </c>
      <c r="X9" s="119" t="s">
        <v>49</v>
      </c>
      <c r="AA9" s="43" t="s">
        <v>50</v>
      </c>
      <c r="AB9" s="43" t="s">
        <v>581</v>
      </c>
      <c r="AC9" s="43" t="s">
        <v>51</v>
      </c>
      <c r="AD9" s="43" t="s">
        <v>52</v>
      </c>
      <c r="AE9" s="43" t="s">
        <v>36</v>
      </c>
      <c r="AF9" s="43" t="s">
        <v>552</v>
      </c>
    </row>
    <row r="10" spans="2:32" x14ac:dyDescent="0.3">
      <c r="B10" s="4">
        <v>7</v>
      </c>
      <c r="C10" s="43" t="s">
        <v>79</v>
      </c>
      <c r="D10" s="43" t="s">
        <v>80</v>
      </c>
      <c r="E10" s="43" t="s">
        <v>81</v>
      </c>
      <c r="F10" s="118" t="s">
        <v>46</v>
      </c>
      <c r="G10" s="114">
        <v>43334</v>
      </c>
      <c r="H10" s="43" t="s">
        <v>111</v>
      </c>
      <c r="I10" s="43" t="s">
        <v>82</v>
      </c>
      <c r="J10" s="115">
        <v>3046.8995469499996</v>
      </c>
      <c r="K10" s="85">
        <f>'Fund II'!K11</f>
        <v>57770</v>
      </c>
      <c r="L10" s="85">
        <f t="shared" si="3"/>
        <v>57770</v>
      </c>
      <c r="M10" s="107">
        <v>0.35</v>
      </c>
      <c r="N10" s="85">
        <f t="shared" si="2"/>
        <v>37550.5</v>
      </c>
      <c r="O10" s="43" t="str">
        <f>'Fund II'!O11</f>
        <v>35% discount to last round (Series D3 - August 23)</v>
      </c>
      <c r="P10" s="103">
        <v>225.34967684999998</v>
      </c>
      <c r="Q10" s="104">
        <v>112.71827188925876</v>
      </c>
      <c r="R10" s="68">
        <v>4.1749259851734825E-2</v>
      </c>
      <c r="S10" s="68">
        <v>1.7887401009860367E-2</v>
      </c>
      <c r="T10" s="67">
        <f t="shared" si="0"/>
        <v>1393.1496839727351</v>
      </c>
      <c r="U10" s="103">
        <v>676.85873547273513</v>
      </c>
      <c r="V10" s="105">
        <v>716.29094850000001</v>
      </c>
      <c r="W10" s="50">
        <f t="shared" si="1"/>
        <v>6.1821685455535871</v>
      </c>
      <c r="X10" s="68">
        <v>0.30116327636718743</v>
      </c>
      <c r="Y10" s="43" t="s">
        <v>1038</v>
      </c>
      <c r="Z10" s="116">
        <f>V10/(P10-Q10)</f>
        <v>6.3596023573502451</v>
      </c>
      <c r="AA10" s="43" t="s">
        <v>83</v>
      </c>
      <c r="AB10" s="43" t="s">
        <v>572</v>
      </c>
      <c r="AC10" s="43" t="s">
        <v>73</v>
      </c>
      <c r="AD10" s="43" t="s">
        <v>36</v>
      </c>
      <c r="AE10" s="43" t="s">
        <v>36</v>
      </c>
      <c r="AF10" s="43" t="s">
        <v>689</v>
      </c>
    </row>
    <row r="11" spans="2:32" x14ac:dyDescent="0.3">
      <c r="B11" s="4">
        <v>8</v>
      </c>
      <c r="C11" s="43" t="s">
        <v>176</v>
      </c>
      <c r="D11" s="43" t="s">
        <v>177</v>
      </c>
      <c r="E11" s="43" t="s">
        <v>299</v>
      </c>
      <c r="F11" s="118" t="s">
        <v>46</v>
      </c>
      <c r="G11" s="114">
        <v>43606</v>
      </c>
      <c r="H11" s="43" t="s">
        <v>111</v>
      </c>
      <c r="I11" s="43" t="s">
        <v>321</v>
      </c>
      <c r="J11" s="115">
        <v>5576.6794049999999</v>
      </c>
      <c r="K11" s="115">
        <v>0</v>
      </c>
      <c r="L11" s="115">
        <v>0</v>
      </c>
      <c r="M11" s="120">
        <v>0</v>
      </c>
      <c r="N11" s="115">
        <v>0</v>
      </c>
      <c r="O11" s="43" t="s">
        <v>461</v>
      </c>
      <c r="P11" s="104">
        <v>174.57851699999998</v>
      </c>
      <c r="Q11" s="104">
        <v>0</v>
      </c>
      <c r="R11" s="68">
        <v>2.4810155932989391E-2</v>
      </c>
      <c r="S11" s="68">
        <v>0</v>
      </c>
      <c r="T11" s="67">
        <f t="shared" si="0"/>
        <v>174.57851699999998</v>
      </c>
      <c r="U11" s="104">
        <v>0</v>
      </c>
      <c r="V11" s="105">
        <f>P11</f>
        <v>174.57851699999998</v>
      </c>
      <c r="W11" s="82">
        <f t="shared" si="1"/>
        <v>1</v>
      </c>
      <c r="X11" s="119" t="s">
        <v>49</v>
      </c>
      <c r="Y11" s="43" t="s">
        <v>582</v>
      </c>
      <c r="Z11" s="116">
        <f>V11/P11</f>
        <v>1</v>
      </c>
      <c r="AA11" s="43" t="s">
        <v>87</v>
      </c>
      <c r="AB11" s="43" t="s">
        <v>179</v>
      </c>
      <c r="AC11" s="43" t="s">
        <v>68</v>
      </c>
      <c r="AD11" s="43" t="s">
        <v>43</v>
      </c>
      <c r="AE11" s="43" t="s">
        <v>36</v>
      </c>
      <c r="AF11" s="43" t="s">
        <v>461</v>
      </c>
    </row>
    <row r="12" spans="2:32" x14ac:dyDescent="0.3">
      <c r="B12" s="4">
        <v>9</v>
      </c>
      <c r="C12" s="43" t="s">
        <v>283</v>
      </c>
      <c r="D12" s="43" t="s">
        <v>284</v>
      </c>
      <c r="E12" s="43" t="s">
        <v>279</v>
      </c>
      <c r="F12" s="43" t="s">
        <v>285</v>
      </c>
      <c r="G12" s="114">
        <v>43745</v>
      </c>
      <c r="H12" s="43" t="s">
        <v>583</v>
      </c>
      <c r="I12" s="43" t="s">
        <v>41</v>
      </c>
      <c r="J12" s="115">
        <v>3656.12</v>
      </c>
      <c r="K12" s="85">
        <v>19884.009999999998</v>
      </c>
      <c r="L12" s="85">
        <f>K12</f>
        <v>19884.009999999998</v>
      </c>
      <c r="M12" s="107">
        <v>0.139252999982728</v>
      </c>
      <c r="N12" s="85">
        <f t="shared" si="2"/>
        <v>17115.101955813436</v>
      </c>
      <c r="O12" s="43" t="s">
        <v>1125</v>
      </c>
      <c r="P12" s="103">
        <v>70.913256500000003</v>
      </c>
      <c r="Q12" s="104">
        <f>P12</f>
        <v>70.913256500000003</v>
      </c>
      <c r="R12" s="68">
        <v>1.9422474399915436E-2</v>
      </c>
      <c r="S12" s="68">
        <f>970/84770</f>
        <v>1.1442727379969328E-2</v>
      </c>
      <c r="T12" s="67">
        <f t="shared" si="0"/>
        <v>200.12840166000001</v>
      </c>
      <c r="U12" s="103">
        <v>200.12840166000001</v>
      </c>
      <c r="V12" s="105">
        <v>0</v>
      </c>
      <c r="W12" s="50">
        <f t="shared" si="1"/>
        <v>2.8221578240452123</v>
      </c>
      <c r="X12" s="68">
        <v>0.18093928222656253</v>
      </c>
      <c r="AA12" s="43" t="s">
        <v>286</v>
      </c>
      <c r="AB12" s="43" t="s">
        <v>287</v>
      </c>
      <c r="AC12" s="43" t="s">
        <v>288</v>
      </c>
      <c r="AD12" s="43" t="s">
        <v>43</v>
      </c>
      <c r="AE12" s="43" t="s">
        <v>43</v>
      </c>
      <c r="AF12" s="43" t="s">
        <v>275</v>
      </c>
    </row>
    <row r="13" spans="2:32" x14ac:dyDescent="0.3">
      <c r="B13" s="4">
        <v>10</v>
      </c>
      <c r="C13" s="43" t="s">
        <v>61</v>
      </c>
      <c r="D13" s="43" t="s">
        <v>62</v>
      </c>
      <c r="E13" s="43" t="s">
        <v>299</v>
      </c>
      <c r="F13" s="118" t="s">
        <v>64</v>
      </c>
      <c r="G13" s="114">
        <v>43748</v>
      </c>
      <c r="H13" s="43" t="s">
        <v>111</v>
      </c>
      <c r="I13" s="43" t="s">
        <v>66</v>
      </c>
      <c r="J13" s="115">
        <v>3758.3749390790285</v>
      </c>
      <c r="K13" s="85">
        <v>7029.5270621972959</v>
      </c>
      <c r="L13" s="115">
        <f>K13</f>
        <v>7029.5270621972959</v>
      </c>
      <c r="M13" s="120">
        <v>0</v>
      </c>
      <c r="N13" s="85">
        <f t="shared" si="2"/>
        <v>7029.5270621972959</v>
      </c>
      <c r="O13" s="43" t="s">
        <v>971</v>
      </c>
      <c r="P13" s="103">
        <v>85.535390000000007</v>
      </c>
      <c r="Q13" s="104">
        <f>P13</f>
        <v>85.535390000000007</v>
      </c>
      <c r="R13" s="68">
        <v>2.1999999999999999E-2</v>
      </c>
      <c r="S13" s="68">
        <v>1.8849318630351199E-2</v>
      </c>
      <c r="T13" s="67">
        <f t="shared" si="0"/>
        <v>154.84793952709998</v>
      </c>
      <c r="U13" s="103">
        <v>154.84793952709998</v>
      </c>
      <c r="V13" s="105">
        <v>0</v>
      </c>
      <c r="W13" s="50">
        <f t="shared" si="1"/>
        <v>1.8103376804279487</v>
      </c>
      <c r="X13" s="68">
        <v>9.9950200195312505E-2</v>
      </c>
      <c r="AA13" s="43" t="s">
        <v>67</v>
      </c>
      <c r="AB13" s="43" t="s">
        <v>584</v>
      </c>
      <c r="AC13" s="43" t="s">
        <v>68</v>
      </c>
      <c r="AD13" s="43" t="s">
        <v>43</v>
      </c>
      <c r="AE13" s="43" t="s">
        <v>69</v>
      </c>
      <c r="AF13" s="43" t="s">
        <v>275</v>
      </c>
    </row>
    <row r="14" spans="2:32" x14ac:dyDescent="0.3">
      <c r="B14" s="18">
        <v>11</v>
      </c>
      <c r="C14" s="43" t="s">
        <v>70</v>
      </c>
      <c r="D14" s="43" t="s">
        <v>585</v>
      </c>
      <c r="E14" s="43" t="s">
        <v>299</v>
      </c>
      <c r="F14" s="118" t="s">
        <v>55</v>
      </c>
      <c r="G14" s="114">
        <v>44099</v>
      </c>
      <c r="H14" s="43" t="s">
        <v>111</v>
      </c>
      <c r="I14" s="43" t="str">
        <f>'Fund II'!I9</f>
        <v>Series D</v>
      </c>
      <c r="J14" s="115">
        <v>3819.4847300000001</v>
      </c>
      <c r="K14" s="85">
        <f>'Fund II'!K9</f>
        <v>24870.194004999998</v>
      </c>
      <c r="L14" s="115">
        <f>'Fund II'!L9</f>
        <v>24870.194004999998</v>
      </c>
      <c r="M14" s="107">
        <f>'Fund II'!M9</f>
        <v>0.17929999999999999</v>
      </c>
      <c r="N14" s="85">
        <f t="shared" si="2"/>
        <v>20410.968219903498</v>
      </c>
      <c r="O14" s="43" t="str">
        <f>'Fund II'!O9</f>
        <v>Marked at the secondary valuation of the Series D (pre-money) round (Mar 25)</v>
      </c>
      <c r="P14" s="103">
        <v>109.98031</v>
      </c>
      <c r="Q14" s="104">
        <v>67.220889999999997</v>
      </c>
      <c r="R14" s="68">
        <v>2.8794029399157862E-2</v>
      </c>
      <c r="S14" s="68">
        <v>1.2477007806173796E-2</v>
      </c>
      <c r="T14" s="67">
        <f t="shared" si="0"/>
        <v>416.65870000000001</v>
      </c>
      <c r="U14" s="103">
        <v>254.6653</v>
      </c>
      <c r="V14" s="105">
        <v>161.99340000000001</v>
      </c>
      <c r="W14" s="50">
        <f t="shared" si="1"/>
        <v>3.7884845023622864</v>
      </c>
      <c r="X14" s="68">
        <v>0.30051700683593752</v>
      </c>
      <c r="Y14" s="43" t="s">
        <v>1039</v>
      </c>
      <c r="Z14" s="116">
        <f>V14/(P14-Q14)</f>
        <v>3.788484502362286</v>
      </c>
      <c r="AA14" s="43" t="s">
        <v>72</v>
      </c>
      <c r="AB14" s="43" t="s">
        <v>996</v>
      </c>
      <c r="AC14" s="43" t="s">
        <v>73</v>
      </c>
      <c r="AD14" s="43" t="s">
        <v>74</v>
      </c>
      <c r="AE14" s="43" t="s">
        <v>36</v>
      </c>
      <c r="AF14" s="43" t="s">
        <v>689</v>
      </c>
    </row>
    <row r="15" spans="2:32" x14ac:dyDescent="0.3">
      <c r="B15" s="4">
        <v>12</v>
      </c>
      <c r="C15" s="43" t="s">
        <v>586</v>
      </c>
      <c r="D15" s="43" t="s">
        <v>135</v>
      </c>
      <c r="E15" s="43" t="s">
        <v>39</v>
      </c>
      <c r="F15" s="118" t="s">
        <v>64</v>
      </c>
      <c r="G15" s="114">
        <v>44256</v>
      </c>
      <c r="H15" s="43" t="s">
        <v>111</v>
      </c>
      <c r="I15" s="43" t="s">
        <v>66</v>
      </c>
      <c r="J15" s="115">
        <v>2105.5396559999999</v>
      </c>
      <c r="K15" s="85">
        <f>'Fund II'!K21</f>
        <v>6483.9431999999997</v>
      </c>
      <c r="L15" s="115">
        <v>0</v>
      </c>
      <c r="M15" s="120">
        <v>0</v>
      </c>
      <c r="N15" s="85">
        <f t="shared" si="2"/>
        <v>0</v>
      </c>
      <c r="O15" s="43" t="s">
        <v>104</v>
      </c>
      <c r="P15" s="103">
        <v>65.760420999999994</v>
      </c>
      <c r="Q15" s="104">
        <f>P15</f>
        <v>65.760420999999994</v>
      </c>
      <c r="R15" s="68">
        <v>2.8400000000000002E-2</v>
      </c>
      <c r="S15" s="68">
        <v>2.3599999999999999E-2</v>
      </c>
      <c r="T15" s="67">
        <f t="shared" si="0"/>
        <v>65.760420999999994</v>
      </c>
      <c r="U15" s="103">
        <v>65.760420999999994</v>
      </c>
      <c r="V15" s="105">
        <v>0</v>
      </c>
      <c r="W15" s="50">
        <f t="shared" si="1"/>
        <v>1</v>
      </c>
      <c r="X15" s="68">
        <v>-1.2207031250000001E-9</v>
      </c>
      <c r="AA15" s="43" t="s">
        <v>136</v>
      </c>
      <c r="AB15" s="43" t="s">
        <v>587</v>
      </c>
      <c r="AC15" s="43" t="s">
        <v>51</v>
      </c>
      <c r="AD15" s="43" t="s">
        <v>43</v>
      </c>
      <c r="AE15" s="43" t="s">
        <v>43</v>
      </c>
      <c r="AF15" s="43" t="s">
        <v>275</v>
      </c>
    </row>
    <row r="16" spans="2:32" x14ac:dyDescent="0.3">
      <c r="B16" s="89"/>
      <c r="C16" s="44"/>
      <c r="D16" s="44"/>
      <c r="E16" s="44"/>
      <c r="F16" s="44"/>
      <c r="G16" s="44"/>
      <c r="H16" s="44"/>
      <c r="I16" s="44"/>
      <c r="J16" s="44"/>
      <c r="K16" s="44"/>
      <c r="L16" s="44"/>
      <c r="M16" s="44"/>
      <c r="N16" s="44"/>
      <c r="O16" s="44"/>
      <c r="P16" s="55">
        <f>SUM(P4:P15)</f>
        <v>2428.1116200594802</v>
      </c>
      <c r="Q16" s="55">
        <f>SUM(Q4:Q15)</f>
        <v>1836.0768095099093</v>
      </c>
      <c r="R16" s="44"/>
      <c r="S16" s="44"/>
      <c r="T16" s="55">
        <f>SUM(T4:T15)</f>
        <v>5499.1021405134916</v>
      </c>
      <c r="U16" s="55">
        <f>SUM(U4:U15)</f>
        <v>3858.4855740134917</v>
      </c>
      <c r="V16" s="55">
        <f>SUM(V4:V15)</f>
        <v>1640.6165665000001</v>
      </c>
      <c r="W16" s="55">
        <f>T16/P16</f>
        <v>2.2647649700629424</v>
      </c>
      <c r="X16" s="90">
        <v>0.14117330566406255</v>
      </c>
      <c r="Y16" s="44"/>
      <c r="Z16" s="113"/>
      <c r="AA16" s="44"/>
      <c r="AB16" s="44"/>
      <c r="AC16" s="44"/>
      <c r="AD16" s="44"/>
      <c r="AE16" s="44"/>
      <c r="AF16" s="44"/>
    </row>
    <row r="17" spans="2:24" x14ac:dyDescent="0.3">
      <c r="B17" s="121"/>
      <c r="C17" s="121"/>
      <c r="X17" s="6"/>
    </row>
    <row r="18" spans="2:24" x14ac:dyDescent="0.3">
      <c r="B18" s="121"/>
      <c r="C18" s="121"/>
      <c r="X18" s="6"/>
    </row>
    <row r="19" spans="2:24" x14ac:dyDescent="0.3">
      <c r="B19" s="121"/>
      <c r="C19" s="43" t="s">
        <v>264</v>
      </c>
      <c r="X19"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812E-3CC1-41AC-B14E-956E23E730A6}">
  <dimension ref="B2:AF18"/>
  <sheetViews>
    <sheetView showGridLines="0" zoomScaleNormal="100" workbookViewId="0">
      <pane xSplit="4" ySplit="3" topLeftCell="I4" activePane="bottomRight" state="frozen"/>
      <selection activeCell="T12" sqref="B1:AI56"/>
      <selection pane="topRight" activeCell="T12" sqref="B1:AI56"/>
      <selection pane="bottomLeft" activeCell="T12" sqref="B1:AI56"/>
      <selection pane="bottomRight" activeCell="J12" sqref="J12"/>
    </sheetView>
  </sheetViews>
  <sheetFormatPr defaultColWidth="8.6328125" defaultRowHeight="14.5" x14ac:dyDescent="0.35"/>
  <cols>
    <col min="1" max="1" width="4.08984375" style="69" customWidth="1"/>
    <col min="2" max="2" width="8.6328125" style="69"/>
    <col min="3" max="3" width="38.36328125" style="69" customWidth="1"/>
    <col min="4" max="4" width="21.90625" style="69" customWidth="1"/>
    <col min="5" max="5" width="14.6328125" style="69" customWidth="1"/>
    <col min="6" max="6" width="22.36328125" style="69" bestFit="1" customWidth="1"/>
    <col min="7" max="7" width="14.6328125" style="69" customWidth="1"/>
    <col min="8" max="8" width="16.90625" style="69" customWidth="1"/>
    <col min="9" max="9" width="16.6328125" style="69" customWidth="1"/>
    <col min="10" max="10" width="15" style="72" bestFit="1" customWidth="1"/>
    <col min="11" max="12" width="18.36328125" style="72" bestFit="1" customWidth="1"/>
    <col min="13" max="13" width="16" style="69" bestFit="1" customWidth="1"/>
    <col min="14" max="14" width="15.6328125" style="72" bestFit="1" customWidth="1"/>
    <col min="15" max="15" width="16.6328125" style="69" customWidth="1"/>
    <col min="16" max="17" width="18.6328125" style="72" customWidth="1"/>
    <col min="18" max="19" width="18.6328125" style="69" customWidth="1"/>
    <col min="20" max="23" width="18.6328125" style="72" customWidth="1"/>
    <col min="24" max="24" width="18.6328125" style="69" customWidth="1"/>
    <col min="25" max="25" width="11.54296875" style="69" customWidth="1"/>
    <col min="26" max="26" width="9.453125" style="69" customWidth="1"/>
    <col min="27" max="27" width="38.54296875" style="69" customWidth="1"/>
    <col min="28" max="28" width="55.453125" style="69" customWidth="1"/>
    <col min="29" max="29" width="46.6328125" style="69" bestFit="1" customWidth="1"/>
    <col min="30" max="30" width="17.453125" style="69" bestFit="1" customWidth="1"/>
    <col min="31" max="31" width="12" style="69" customWidth="1"/>
    <col min="32" max="32" width="11.08984375" style="69" customWidth="1"/>
    <col min="33" max="16384" width="8.6328125" style="69"/>
  </cols>
  <sheetData>
    <row r="2" spans="2:32" ht="39.5" x14ac:dyDescent="0.35">
      <c r="B2" s="40" t="s">
        <v>0</v>
      </c>
      <c r="C2" s="40" t="s">
        <v>1</v>
      </c>
      <c r="D2" s="40" t="s">
        <v>2</v>
      </c>
      <c r="E2" s="40" t="s">
        <v>3</v>
      </c>
      <c r="F2" s="40" t="s">
        <v>4</v>
      </c>
      <c r="G2" s="40" t="s">
        <v>5</v>
      </c>
      <c r="H2" s="40" t="s">
        <v>6</v>
      </c>
      <c r="I2" s="40" t="s">
        <v>7</v>
      </c>
      <c r="J2" s="73" t="s">
        <v>8</v>
      </c>
      <c r="K2" s="73" t="s">
        <v>9</v>
      </c>
      <c r="L2" s="74" t="s">
        <v>10</v>
      </c>
      <c r="M2" s="41" t="s">
        <v>11</v>
      </c>
      <c r="N2" s="74" t="s">
        <v>12</v>
      </c>
      <c r="O2" s="40" t="s">
        <v>13</v>
      </c>
      <c r="P2" s="73" t="s">
        <v>14</v>
      </c>
      <c r="Q2" s="73" t="s">
        <v>15</v>
      </c>
      <c r="R2" s="41" t="s">
        <v>621</v>
      </c>
      <c r="S2" s="41" t="s">
        <v>622</v>
      </c>
      <c r="T2" s="73" t="s">
        <v>16</v>
      </c>
      <c r="U2" s="73" t="s">
        <v>17</v>
      </c>
      <c r="V2" s="73" t="s">
        <v>18</v>
      </c>
      <c r="W2" s="73" t="s">
        <v>19</v>
      </c>
      <c r="X2" s="41" t="s">
        <v>1132</v>
      </c>
      <c r="Y2" s="41" t="s">
        <v>20</v>
      </c>
      <c r="Z2" s="41" t="s">
        <v>21</v>
      </c>
      <c r="AA2" s="40" t="s">
        <v>22</v>
      </c>
      <c r="AB2" s="40" t="s">
        <v>955</v>
      </c>
      <c r="AC2" s="40" t="s">
        <v>23</v>
      </c>
      <c r="AD2" s="40" t="s">
        <v>24</v>
      </c>
      <c r="AE2" s="40" t="s">
        <v>25</v>
      </c>
      <c r="AF2" s="40" t="s">
        <v>265</v>
      </c>
    </row>
    <row r="3" spans="2:32" x14ac:dyDescent="0.35">
      <c r="B3" s="44"/>
      <c r="C3" s="44"/>
      <c r="D3" s="44"/>
      <c r="E3" s="44"/>
      <c r="F3" s="44"/>
      <c r="G3" s="44" t="s">
        <v>26</v>
      </c>
      <c r="H3" s="44"/>
      <c r="I3" s="44"/>
      <c r="J3" s="44" t="s">
        <v>1129</v>
      </c>
      <c r="K3" s="44" t="s">
        <v>1129</v>
      </c>
      <c r="L3" s="44" t="s">
        <v>1129</v>
      </c>
      <c r="M3" s="44"/>
      <c r="N3" s="44" t="s">
        <v>1129</v>
      </c>
      <c r="O3" s="44"/>
      <c r="P3" s="44" t="s">
        <v>1129</v>
      </c>
      <c r="Q3" s="44" t="s">
        <v>1129</v>
      </c>
      <c r="R3" s="44" t="s">
        <v>27</v>
      </c>
      <c r="S3" s="44" t="s">
        <v>27</v>
      </c>
      <c r="T3" s="44" t="s">
        <v>1129</v>
      </c>
      <c r="U3" s="44" t="s">
        <v>1129</v>
      </c>
      <c r="V3" s="44" t="s">
        <v>1129</v>
      </c>
      <c r="W3" s="54" t="s">
        <v>268</v>
      </c>
      <c r="X3" s="44" t="s">
        <v>27</v>
      </c>
      <c r="Y3" s="44"/>
      <c r="Z3" s="44"/>
      <c r="AA3" s="44"/>
      <c r="AB3" s="44"/>
      <c r="AC3" s="44"/>
      <c r="AD3" s="44"/>
      <c r="AE3" s="44"/>
      <c r="AF3" s="44"/>
    </row>
    <row r="4" spans="2:32" x14ac:dyDescent="0.35">
      <c r="B4" s="4">
        <v>1</v>
      </c>
      <c r="C4" s="43" t="s">
        <v>53</v>
      </c>
      <c r="D4" s="8" t="s">
        <v>54</v>
      </c>
      <c r="E4" s="43" t="s">
        <v>299</v>
      </c>
      <c r="F4" s="43" t="s">
        <v>55</v>
      </c>
      <c r="G4" s="102">
        <v>44589</v>
      </c>
      <c r="H4" s="43" t="s">
        <v>569</v>
      </c>
      <c r="I4" s="43" t="s">
        <v>988</v>
      </c>
      <c r="J4" s="82">
        <v>70669.040800000002</v>
      </c>
      <c r="K4" s="50">
        <f>'Fund II'!K7</f>
        <v>19454.7648189748</v>
      </c>
      <c r="L4" s="50">
        <f>K4</f>
        <v>19454.7648189748</v>
      </c>
      <c r="M4" s="53">
        <v>0</v>
      </c>
      <c r="N4" s="50">
        <f t="shared" ref="N4:N10" si="0">L4*(1-M4)</f>
        <v>19454.7648189748</v>
      </c>
      <c r="O4" s="43" t="s">
        <v>970</v>
      </c>
      <c r="P4" s="103">
        <v>357.10712414999995</v>
      </c>
      <c r="Q4" s="104">
        <v>357.10712414999995</v>
      </c>
      <c r="R4" s="68">
        <v>4.4000000000000003E-3</v>
      </c>
      <c r="S4" s="68">
        <v>6.2133248204425317E-3</v>
      </c>
      <c r="T4" s="67">
        <f>U4+V4</f>
        <v>120.87877312560857</v>
      </c>
      <c r="U4" s="103">
        <v>120.87877312560857</v>
      </c>
      <c r="V4" s="105">
        <v>0</v>
      </c>
      <c r="W4" s="71">
        <f>T4/P4</f>
        <v>0.33849443192523493</v>
      </c>
      <c r="X4" s="68">
        <v>-0.28837540820240976</v>
      </c>
      <c r="Y4" s="106" t="s">
        <v>321</v>
      </c>
      <c r="Z4" s="106" t="s">
        <v>321</v>
      </c>
      <c r="AA4" s="69" t="s">
        <v>58</v>
      </c>
      <c r="AB4" s="69" t="s">
        <v>570</v>
      </c>
      <c r="AC4" s="69" t="s">
        <v>59</v>
      </c>
      <c r="AD4" s="69" t="s">
        <v>52</v>
      </c>
      <c r="AE4" s="69" t="s">
        <v>60</v>
      </c>
      <c r="AF4" s="69" t="s">
        <v>275</v>
      </c>
    </row>
    <row r="5" spans="2:32" x14ac:dyDescent="0.35">
      <c r="B5" s="4">
        <v>2</v>
      </c>
      <c r="C5" s="43" t="s">
        <v>79</v>
      </c>
      <c r="D5" s="8" t="s">
        <v>80</v>
      </c>
      <c r="E5" s="43" t="s">
        <v>299</v>
      </c>
      <c r="F5" s="43" t="s">
        <v>46</v>
      </c>
      <c r="G5" s="102">
        <v>44617</v>
      </c>
      <c r="H5" s="43" t="s">
        <v>571</v>
      </c>
      <c r="I5" s="43" t="s">
        <v>82</v>
      </c>
      <c r="J5" s="82">
        <f>'Fund IIA'!K10</f>
        <v>57770</v>
      </c>
      <c r="K5" s="82">
        <f>'Fund IIA'!L10</f>
        <v>57770</v>
      </c>
      <c r="L5" s="50">
        <f>K5</f>
        <v>57770</v>
      </c>
      <c r="M5" s="107">
        <v>0.35</v>
      </c>
      <c r="N5" s="50">
        <f t="shared" si="0"/>
        <v>37550.5</v>
      </c>
      <c r="O5" s="43" t="str">
        <f>'Fund II'!O11</f>
        <v>35% discount to last round (Series D3 - August 23)</v>
      </c>
      <c r="P5" s="103">
        <v>349.99987967000004</v>
      </c>
      <c r="Q5" s="104">
        <v>349.99987967000004</v>
      </c>
      <c r="R5" s="68">
        <v>8.3248251525838649E-3</v>
      </c>
      <c r="S5" s="68">
        <v>7.5731700756223935E-3</v>
      </c>
      <c r="T5" s="67">
        <f t="shared" ref="T5:T10" si="1">U5+V5</f>
        <v>286.16183999999987</v>
      </c>
      <c r="U5" s="103">
        <v>286.16183999999987</v>
      </c>
      <c r="V5" s="105">
        <v>0</v>
      </c>
      <c r="W5" s="71">
        <f t="shared" ref="W5:W10" si="2">T5/P5</f>
        <v>0.81760553823564075</v>
      </c>
      <c r="X5" s="68">
        <v>-5.0969722867012027E-2</v>
      </c>
      <c r="Y5" s="106" t="s">
        <v>321</v>
      </c>
      <c r="Z5" s="106" t="s">
        <v>321</v>
      </c>
      <c r="AA5" s="43" t="s">
        <v>50</v>
      </c>
      <c r="AB5" s="69" t="s">
        <v>572</v>
      </c>
      <c r="AC5" s="69" t="s">
        <v>51</v>
      </c>
      <c r="AD5" s="69" t="s">
        <v>36</v>
      </c>
      <c r="AE5" s="69" t="s">
        <v>36</v>
      </c>
      <c r="AF5" s="69" t="s">
        <v>275</v>
      </c>
    </row>
    <row r="6" spans="2:32" x14ac:dyDescent="0.35">
      <c r="B6" s="4">
        <v>3</v>
      </c>
      <c r="C6" s="43" t="s">
        <v>416</v>
      </c>
      <c r="D6" s="8" t="s">
        <v>270</v>
      </c>
      <c r="E6" s="43" t="s">
        <v>92</v>
      </c>
      <c r="F6" s="43" t="s">
        <v>271</v>
      </c>
      <c r="G6" s="102">
        <v>44589</v>
      </c>
      <c r="H6" s="43" t="s">
        <v>571</v>
      </c>
      <c r="I6" s="43" t="s">
        <v>47</v>
      </c>
      <c r="J6" s="82">
        <v>53694.02577</v>
      </c>
      <c r="K6" s="50">
        <f>'Fund IIA'!K5</f>
        <v>106410.97626136146</v>
      </c>
      <c r="L6" s="50">
        <f>K6</f>
        <v>106410.97626136146</v>
      </c>
      <c r="M6" s="107">
        <f>'Fund IIA'!M5</f>
        <v>0.11516728096038864</v>
      </c>
      <c r="N6" s="50">
        <f t="shared" si="0"/>
        <v>94155.913461000004</v>
      </c>
      <c r="O6" s="43" t="str">
        <f>'Fund IIA'!O5</f>
        <v>Valued at secondary price to the last round (Series F - May 24)</v>
      </c>
      <c r="P6" s="103">
        <v>267.82078300000001</v>
      </c>
      <c r="Q6" s="104">
        <v>234.93051140350877</v>
      </c>
      <c r="R6" s="68">
        <v>3.3170898520988286E-3</v>
      </c>
      <c r="S6" s="68">
        <v>3.4153880508965622E-3</v>
      </c>
      <c r="T6" s="67">
        <f t="shared" si="1"/>
        <v>386.75313899999981</v>
      </c>
      <c r="U6" s="103">
        <v>341.53784999999982</v>
      </c>
      <c r="V6" s="105">
        <v>45.215288999999999</v>
      </c>
      <c r="W6" s="71">
        <f t="shared" si="2"/>
        <v>1.4440744092664377</v>
      </c>
      <c r="X6" s="68">
        <v>0.10848469138145447</v>
      </c>
      <c r="Y6" s="106" t="s">
        <v>989</v>
      </c>
      <c r="Z6" s="106">
        <f>V6/(P6-Q6)</f>
        <v>1.3747313964054835</v>
      </c>
      <c r="AA6" s="43" t="s">
        <v>441</v>
      </c>
      <c r="AB6" s="69" t="s">
        <v>442</v>
      </c>
      <c r="AC6" s="69" t="s">
        <v>443</v>
      </c>
      <c r="AD6" s="69" t="s">
        <v>36</v>
      </c>
      <c r="AE6" s="69" t="s">
        <v>60</v>
      </c>
      <c r="AF6" s="69" t="s">
        <v>689</v>
      </c>
    </row>
    <row r="7" spans="2:32" x14ac:dyDescent="0.35">
      <c r="B7" s="4">
        <v>4</v>
      </c>
      <c r="C7" s="43" t="s">
        <v>419</v>
      </c>
      <c r="D7" s="8" t="s">
        <v>420</v>
      </c>
      <c r="E7" s="43" t="s">
        <v>279</v>
      </c>
      <c r="F7" s="43" t="s">
        <v>55</v>
      </c>
      <c r="G7" s="102">
        <v>44683</v>
      </c>
      <c r="H7" s="43" t="s">
        <v>41</v>
      </c>
      <c r="I7" s="43" t="s">
        <v>41</v>
      </c>
      <c r="J7" s="82">
        <f>'Fund IIA'!K7</f>
        <v>65190.93</v>
      </c>
      <c r="K7" s="50">
        <f>J7</f>
        <v>65190.93</v>
      </c>
      <c r="L7" s="50">
        <f>K7</f>
        <v>65190.93</v>
      </c>
      <c r="M7" s="107">
        <v>0.2</v>
      </c>
      <c r="N7" s="50">
        <f t="shared" si="0"/>
        <v>52152.744000000006</v>
      </c>
      <c r="O7" s="43" t="str">
        <f>'Fund IIA'!O7</f>
        <v>20% discount to the last round (Series E - May 22)</v>
      </c>
      <c r="P7" s="103">
        <v>227.99392</v>
      </c>
      <c r="Q7" s="104">
        <v>227.99392</v>
      </c>
      <c r="R7" s="68">
        <v>3.4973258383797401E-3</v>
      </c>
      <c r="S7" s="68">
        <v>3.4973258383797401E-3</v>
      </c>
      <c r="T7" s="67">
        <f t="shared" si="1"/>
        <v>182.39513600000004</v>
      </c>
      <c r="U7" s="103">
        <v>182.39513600000004</v>
      </c>
      <c r="V7" s="105">
        <v>0</v>
      </c>
      <c r="W7" s="71">
        <f t="shared" si="2"/>
        <v>0.80000000000000016</v>
      </c>
      <c r="X7" s="68">
        <v>-5.9099629521369934E-2</v>
      </c>
      <c r="Y7" s="106" t="s">
        <v>321</v>
      </c>
      <c r="Z7" s="106" t="s">
        <v>321</v>
      </c>
      <c r="AA7" s="43" t="s">
        <v>317</v>
      </c>
      <c r="AB7" s="69" t="s">
        <v>318</v>
      </c>
      <c r="AC7" s="69" t="s">
        <v>51</v>
      </c>
      <c r="AD7" s="69" t="s">
        <v>52</v>
      </c>
      <c r="AE7" s="69" t="s">
        <v>60</v>
      </c>
      <c r="AF7" s="69" t="s">
        <v>275</v>
      </c>
    </row>
    <row r="8" spans="2:32" x14ac:dyDescent="0.35">
      <c r="B8" s="4">
        <v>5</v>
      </c>
      <c r="C8" s="43" t="s">
        <v>433</v>
      </c>
      <c r="D8" s="8" t="s">
        <v>434</v>
      </c>
      <c r="E8" s="43" t="s">
        <v>81</v>
      </c>
      <c r="F8" s="43" t="s">
        <v>127</v>
      </c>
      <c r="G8" s="102">
        <v>44774</v>
      </c>
      <c r="H8" s="43" t="s">
        <v>111</v>
      </c>
      <c r="I8" s="43" t="s">
        <v>963</v>
      </c>
      <c r="J8" s="82">
        <v>6847.5</v>
      </c>
      <c r="K8" s="50">
        <v>6847.5</v>
      </c>
      <c r="L8" s="50">
        <v>0</v>
      </c>
      <c r="M8" s="53">
        <v>0</v>
      </c>
      <c r="N8" s="50">
        <f t="shared" si="0"/>
        <v>0</v>
      </c>
      <c r="O8" s="43" t="s">
        <v>104</v>
      </c>
      <c r="P8" s="103">
        <v>80.001558000000003</v>
      </c>
      <c r="Q8" s="104">
        <v>80.001558000000003</v>
      </c>
      <c r="R8" s="68">
        <v>1.133E-2</v>
      </c>
      <c r="S8" s="68">
        <v>1.133E-2</v>
      </c>
      <c r="T8" s="67">
        <f t="shared" si="1"/>
        <v>80.001558000000003</v>
      </c>
      <c r="U8" s="103">
        <v>80.001558000000003</v>
      </c>
      <c r="V8" s="105">
        <v>0</v>
      </c>
      <c r="W8" s="71">
        <f t="shared" si="2"/>
        <v>1</v>
      </c>
      <c r="X8" s="68">
        <v>2.9802322387695314E-9</v>
      </c>
      <c r="Y8" s="106" t="s">
        <v>321</v>
      </c>
      <c r="Z8" s="106" t="s">
        <v>321</v>
      </c>
      <c r="AA8" s="43" t="s">
        <v>430</v>
      </c>
      <c r="AB8" s="69" t="s">
        <v>431</v>
      </c>
      <c r="AC8" s="69" t="s">
        <v>432</v>
      </c>
      <c r="AD8" s="69" t="s">
        <v>36</v>
      </c>
      <c r="AE8" s="69" t="s">
        <v>36</v>
      </c>
      <c r="AF8" s="69" t="s">
        <v>275</v>
      </c>
    </row>
    <row r="9" spans="2:32" x14ac:dyDescent="0.35">
      <c r="B9" s="4">
        <v>6</v>
      </c>
      <c r="C9" s="43" t="s">
        <v>108</v>
      </c>
      <c r="D9" s="8" t="s">
        <v>109</v>
      </c>
      <c r="E9" s="43" t="s">
        <v>279</v>
      </c>
      <c r="F9" s="43" t="s">
        <v>110</v>
      </c>
      <c r="G9" s="102">
        <v>44933</v>
      </c>
      <c r="H9" s="43" t="s">
        <v>111</v>
      </c>
      <c r="I9" s="43" t="s">
        <v>111</v>
      </c>
      <c r="J9" s="82">
        <f>'Fund II'!K16</f>
        <v>7545.1152426667186</v>
      </c>
      <c r="K9" s="50">
        <f>J9</f>
        <v>7545.1152426667186</v>
      </c>
      <c r="L9" s="50">
        <v>0</v>
      </c>
      <c r="M9" s="53">
        <v>0</v>
      </c>
      <c r="N9" s="50">
        <f t="shared" si="0"/>
        <v>0</v>
      </c>
      <c r="O9" s="43" t="s">
        <v>104</v>
      </c>
      <c r="P9" s="103">
        <v>122.33998776999999</v>
      </c>
      <c r="Q9" s="104">
        <v>122.33998776999999</v>
      </c>
      <c r="R9" s="68">
        <v>1.5945571516504872E-2</v>
      </c>
      <c r="S9" s="68">
        <v>1.5945571516504872E-2</v>
      </c>
      <c r="T9" s="67">
        <f t="shared" si="1"/>
        <v>134.87968651602998</v>
      </c>
      <c r="U9" s="103">
        <v>134.87968651602998</v>
      </c>
      <c r="V9" s="105">
        <v>0</v>
      </c>
      <c r="W9" s="71">
        <f t="shared" si="2"/>
        <v>1.1024987739054275</v>
      </c>
      <c r="X9" s="68">
        <v>3.3878752589225763E-2</v>
      </c>
      <c r="Y9" s="106" t="s">
        <v>321</v>
      </c>
      <c r="Z9" s="106" t="s">
        <v>321</v>
      </c>
      <c r="AA9" s="69" t="s">
        <v>112</v>
      </c>
      <c r="AB9" s="69" t="s">
        <v>573</v>
      </c>
      <c r="AC9" s="69" t="s">
        <v>51</v>
      </c>
      <c r="AD9" s="69" t="s">
        <v>69</v>
      </c>
      <c r="AE9" s="69" t="s">
        <v>36</v>
      </c>
      <c r="AF9" s="69" t="s">
        <v>275</v>
      </c>
    </row>
    <row r="10" spans="2:32" x14ac:dyDescent="0.35">
      <c r="B10" s="4">
        <v>7</v>
      </c>
      <c r="C10" s="43" t="s">
        <v>130</v>
      </c>
      <c r="D10" s="8" t="s">
        <v>574</v>
      </c>
      <c r="E10" s="43" t="s">
        <v>961</v>
      </c>
      <c r="F10" s="43" t="s">
        <v>575</v>
      </c>
      <c r="G10" s="102">
        <v>44973</v>
      </c>
      <c r="H10" s="43" t="s">
        <v>132</v>
      </c>
      <c r="I10" s="43" t="s">
        <v>583</v>
      </c>
      <c r="J10" s="108" t="s">
        <v>132</v>
      </c>
      <c r="K10" s="109">
        <f>'Fund II'!K20</f>
        <v>15601.18863922289</v>
      </c>
      <c r="L10" s="50">
        <v>0</v>
      </c>
      <c r="M10" s="53">
        <v>0</v>
      </c>
      <c r="N10" s="50">
        <f t="shared" si="0"/>
        <v>0</v>
      </c>
      <c r="O10" s="43" t="s">
        <v>104</v>
      </c>
      <c r="P10" s="103">
        <v>82.835000000000008</v>
      </c>
      <c r="Q10" s="104">
        <v>82.835000000000008</v>
      </c>
      <c r="R10" s="68">
        <v>6.621422134046164E-3</v>
      </c>
      <c r="S10" s="68">
        <v>6.621422134046164E-3</v>
      </c>
      <c r="T10" s="67">
        <f t="shared" si="1"/>
        <v>83.543480000000002</v>
      </c>
      <c r="U10" s="103">
        <v>83.543480000000002</v>
      </c>
      <c r="V10" s="105">
        <v>0</v>
      </c>
      <c r="W10" s="71">
        <f t="shared" si="2"/>
        <v>1.0085529063801533</v>
      </c>
      <c r="X10" s="68">
        <v>2.9677301645278931E-3</v>
      </c>
      <c r="Y10" s="106" t="s">
        <v>321</v>
      </c>
      <c r="Z10" s="106" t="s">
        <v>321</v>
      </c>
      <c r="AA10" s="69" t="s">
        <v>133</v>
      </c>
      <c r="AB10" s="69" t="s">
        <v>576</v>
      </c>
      <c r="AC10" s="69" t="s">
        <v>35</v>
      </c>
      <c r="AD10" s="69" t="s">
        <v>69</v>
      </c>
      <c r="AE10" s="69" t="s">
        <v>36</v>
      </c>
      <c r="AF10" s="69" t="s">
        <v>275</v>
      </c>
    </row>
    <row r="11" spans="2:32" x14ac:dyDescent="0.35">
      <c r="B11" s="89"/>
      <c r="C11" s="44"/>
      <c r="D11" s="44"/>
      <c r="E11" s="44"/>
      <c r="F11" s="44"/>
      <c r="G11" s="44"/>
      <c r="H11" s="44"/>
      <c r="I11" s="44"/>
      <c r="J11" s="54"/>
      <c r="K11" s="54"/>
      <c r="L11" s="54"/>
      <c r="M11" s="44"/>
      <c r="N11" s="54"/>
      <c r="O11" s="44"/>
      <c r="P11" s="55">
        <f>SUM(P4:P10)</f>
        <v>1488.0982525899999</v>
      </c>
      <c r="Q11" s="55">
        <f>SUM(Q4:Q10)</f>
        <v>1455.2079809935085</v>
      </c>
      <c r="R11" s="44"/>
      <c r="S11" s="44"/>
      <c r="T11" s="55">
        <f>SUM(T4:T10)</f>
        <v>1274.6136126416384</v>
      </c>
      <c r="U11" s="55">
        <f>SUM(U4:U10)</f>
        <v>1229.3983236416384</v>
      </c>
      <c r="V11" s="55">
        <f>SUM(V4:V10)</f>
        <v>45.215288999999999</v>
      </c>
      <c r="W11" s="55">
        <f>T11/P11</f>
        <v>0.85653861257024089</v>
      </c>
      <c r="X11" s="45">
        <v>-4.3473283946514132E-2</v>
      </c>
      <c r="Y11" s="44"/>
      <c r="Z11" s="44"/>
      <c r="AA11" s="44"/>
      <c r="AB11" s="44"/>
      <c r="AC11" s="44"/>
      <c r="AD11" s="44"/>
      <c r="AE11" s="44"/>
      <c r="AF11" s="44"/>
    </row>
    <row r="12" spans="2:32" x14ac:dyDescent="0.35">
      <c r="B12" s="43"/>
      <c r="C12" s="43"/>
      <c r="D12" s="8"/>
      <c r="E12" s="43"/>
      <c r="F12" s="43"/>
      <c r="G12" s="102"/>
      <c r="H12" s="43"/>
      <c r="I12" s="43"/>
      <c r="J12" s="82"/>
      <c r="K12" s="50"/>
      <c r="L12" s="50"/>
      <c r="M12" s="107"/>
      <c r="N12" s="71"/>
      <c r="O12" s="43"/>
      <c r="P12" s="103"/>
      <c r="Q12" s="103"/>
      <c r="R12" s="110"/>
      <c r="S12" s="111"/>
      <c r="T12" s="162"/>
      <c r="U12" s="103"/>
      <c r="V12" s="105"/>
      <c r="W12" s="71"/>
      <c r="X12" s="68"/>
    </row>
    <row r="13" spans="2:32" x14ac:dyDescent="0.35">
      <c r="B13" s="43"/>
      <c r="C13" s="69" t="s">
        <v>264</v>
      </c>
      <c r="D13" s="8"/>
      <c r="E13" s="43"/>
      <c r="F13" s="43"/>
      <c r="G13" s="102"/>
      <c r="H13" s="43"/>
      <c r="I13" s="43"/>
      <c r="J13" s="82"/>
      <c r="K13" s="50"/>
      <c r="L13" s="50"/>
      <c r="M13" s="107"/>
      <c r="N13" s="71"/>
      <c r="O13" s="43"/>
      <c r="P13" s="103"/>
      <c r="Q13" s="103"/>
      <c r="R13" s="110"/>
      <c r="S13" s="111"/>
      <c r="U13" s="103"/>
      <c r="V13" s="105"/>
      <c r="W13" s="71"/>
      <c r="X13" s="68"/>
    </row>
    <row r="18" spans="2:2" x14ac:dyDescent="0.35">
      <c r="B18" s="1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FCA66-36FF-4594-893D-208BC6A941C8}">
  <dimension ref="B1:AF18"/>
  <sheetViews>
    <sheetView showGridLines="0" zoomScaleNormal="100" workbookViewId="0">
      <pane xSplit="4" ySplit="3" topLeftCell="R4" activePane="bottomRight" state="frozen"/>
      <selection activeCell="T12" sqref="B1:AI56"/>
      <selection pane="topRight" activeCell="T12" sqref="B1:AI56"/>
      <selection pane="bottomLeft" activeCell="T12" sqref="B1:AI56"/>
      <selection pane="bottomRight" activeCell="V10" sqref="V10"/>
    </sheetView>
  </sheetViews>
  <sheetFormatPr defaultColWidth="8.6328125" defaultRowHeight="14.5" x14ac:dyDescent="0.35"/>
  <cols>
    <col min="1" max="1" width="4.08984375" style="69" customWidth="1"/>
    <col min="2" max="2" width="8.6328125" style="69"/>
    <col min="3" max="3" width="38.36328125" style="69" customWidth="1"/>
    <col min="4" max="4" width="21.90625" style="69" customWidth="1"/>
    <col min="5" max="5" width="14.6328125" style="69" customWidth="1"/>
    <col min="6" max="6" width="22.36328125" style="69" bestFit="1" customWidth="1"/>
    <col min="7" max="7" width="14.6328125" style="69" customWidth="1"/>
    <col min="8" max="8" width="16.90625" style="69" customWidth="1"/>
    <col min="9" max="9" width="16.6328125" style="69" customWidth="1"/>
    <col min="10" max="10" width="15" style="69" bestFit="1" customWidth="1"/>
    <col min="11" max="12" width="18.36328125" style="69" bestFit="1" customWidth="1"/>
    <col min="13" max="13" width="16" style="69" bestFit="1" customWidth="1"/>
    <col min="14" max="14" width="15.6328125" style="69" bestFit="1" customWidth="1"/>
    <col min="15" max="15" width="16.6328125" style="69" customWidth="1"/>
    <col min="16" max="19" width="18.6328125" style="69" customWidth="1"/>
    <col min="20" max="21" width="18.6328125" style="72" customWidth="1"/>
    <col min="22" max="22" width="18.6328125" style="69" customWidth="1"/>
    <col min="23" max="23" width="18.6328125" style="72" customWidth="1"/>
    <col min="24" max="24" width="18.6328125" style="69" customWidth="1"/>
    <col min="25" max="25" width="11.54296875" style="69" customWidth="1"/>
    <col min="26" max="26" width="9.453125" style="72" customWidth="1"/>
    <col min="27" max="27" width="38.54296875" style="69" customWidth="1"/>
    <col min="28" max="28" width="55.453125" style="69" customWidth="1"/>
    <col min="29" max="29" width="46.6328125" style="69" bestFit="1" customWidth="1"/>
    <col min="30" max="30" width="17.453125" style="69" bestFit="1" customWidth="1"/>
    <col min="31" max="31" width="12" style="69" customWidth="1"/>
    <col min="32" max="32" width="11.08984375" style="69" customWidth="1"/>
    <col min="33" max="16384" width="8.6328125" style="69"/>
  </cols>
  <sheetData>
    <row r="1" spans="2:32" x14ac:dyDescent="0.35">
      <c r="D1" s="43"/>
      <c r="P1" s="70"/>
      <c r="Q1" s="70"/>
      <c r="T1" s="71"/>
      <c r="U1" s="71"/>
      <c r="V1" s="70"/>
    </row>
    <row r="2" spans="2:32" ht="39.5" x14ac:dyDescent="0.35">
      <c r="B2" s="40" t="s">
        <v>0</v>
      </c>
      <c r="C2" s="40" t="s">
        <v>1</v>
      </c>
      <c r="D2" s="40" t="s">
        <v>2</v>
      </c>
      <c r="E2" s="40" t="s">
        <v>3</v>
      </c>
      <c r="F2" s="40" t="s">
        <v>4</v>
      </c>
      <c r="G2" s="40" t="s">
        <v>5</v>
      </c>
      <c r="H2" s="40" t="s">
        <v>6</v>
      </c>
      <c r="I2" s="40" t="s">
        <v>7</v>
      </c>
      <c r="J2" s="40" t="s">
        <v>8</v>
      </c>
      <c r="K2" s="40" t="s">
        <v>9</v>
      </c>
      <c r="L2" s="41" t="s">
        <v>415</v>
      </c>
      <c r="M2" s="41" t="s">
        <v>11</v>
      </c>
      <c r="N2" s="41" t="s">
        <v>12</v>
      </c>
      <c r="O2" s="40" t="s">
        <v>13</v>
      </c>
      <c r="P2" s="40" t="s">
        <v>14</v>
      </c>
      <c r="Q2" s="40" t="s">
        <v>15</v>
      </c>
      <c r="R2" s="41" t="s">
        <v>621</v>
      </c>
      <c r="S2" s="41" t="s">
        <v>622</v>
      </c>
      <c r="T2" s="73" t="s">
        <v>16</v>
      </c>
      <c r="U2" s="73" t="s">
        <v>17</v>
      </c>
      <c r="V2" s="40" t="s">
        <v>18</v>
      </c>
      <c r="W2" s="73" t="s">
        <v>19</v>
      </c>
      <c r="X2" s="41" t="s">
        <v>1132</v>
      </c>
      <c r="Y2" s="41" t="s">
        <v>20</v>
      </c>
      <c r="Z2" s="74" t="s">
        <v>21</v>
      </c>
      <c r="AA2" s="40" t="s">
        <v>22</v>
      </c>
      <c r="AB2" s="40" t="s">
        <v>955</v>
      </c>
      <c r="AC2" s="40" t="s">
        <v>23</v>
      </c>
      <c r="AD2" s="40" t="s">
        <v>24</v>
      </c>
      <c r="AE2" s="40" t="s">
        <v>25</v>
      </c>
      <c r="AF2" s="40" t="s">
        <v>265</v>
      </c>
    </row>
    <row r="3" spans="2:32" x14ac:dyDescent="0.35">
      <c r="B3" s="44"/>
      <c r="C3" s="44"/>
      <c r="D3" s="44"/>
      <c r="E3" s="44"/>
      <c r="F3" s="44"/>
      <c r="G3" s="44" t="s">
        <v>26</v>
      </c>
      <c r="H3" s="44"/>
      <c r="I3" s="44"/>
      <c r="J3" s="44" t="s">
        <v>1129</v>
      </c>
      <c r="K3" s="44" t="s">
        <v>1129</v>
      </c>
      <c r="L3" s="44" t="s">
        <v>1129</v>
      </c>
      <c r="M3" s="44"/>
      <c r="N3" s="44" t="s">
        <v>1129</v>
      </c>
      <c r="O3" s="44"/>
      <c r="P3" s="44" t="s">
        <v>1129</v>
      </c>
      <c r="Q3" s="44" t="s">
        <v>1129</v>
      </c>
      <c r="R3" s="44" t="s">
        <v>27</v>
      </c>
      <c r="S3" s="44" t="s">
        <v>27</v>
      </c>
      <c r="T3" s="44" t="s">
        <v>1129</v>
      </c>
      <c r="U3" s="44" t="s">
        <v>1129</v>
      </c>
      <c r="V3" s="44" t="s">
        <v>1129</v>
      </c>
      <c r="W3" s="54" t="s">
        <v>268</v>
      </c>
      <c r="X3" s="44" t="s">
        <v>27</v>
      </c>
      <c r="Y3" s="44"/>
      <c r="Z3" s="54"/>
      <c r="AA3" s="44"/>
      <c r="AB3" s="44"/>
      <c r="AC3" s="44"/>
      <c r="AD3" s="44"/>
      <c r="AE3" s="44"/>
      <c r="AF3" s="44"/>
    </row>
    <row r="4" spans="2:32" x14ac:dyDescent="0.35">
      <c r="B4" s="4">
        <v>1</v>
      </c>
      <c r="C4" s="43" t="s">
        <v>416</v>
      </c>
      <c r="D4" s="75" t="s">
        <v>417</v>
      </c>
      <c r="E4" s="76" t="s">
        <v>81</v>
      </c>
      <c r="F4" s="77" t="s">
        <v>271</v>
      </c>
      <c r="G4" s="78">
        <v>44197</v>
      </c>
      <c r="H4" s="79" t="s">
        <v>418</v>
      </c>
      <c r="I4" s="79" t="s">
        <v>47</v>
      </c>
      <c r="J4" s="52">
        <v>15395.263451999999</v>
      </c>
      <c r="K4" s="80">
        <f>'Fund IIB'!K6</f>
        <v>106410.97626136146</v>
      </c>
      <c r="L4" s="80">
        <f t="shared" ref="L4:L9" si="0">K4</f>
        <v>106410.97626136146</v>
      </c>
      <c r="M4" s="81">
        <f>'Fund IIB'!M6</f>
        <v>0.11516728096038864</v>
      </c>
      <c r="N4" s="80">
        <f t="shared" ref="N4:N9" si="1">L4*(1-M4)</f>
        <v>94155.913461000004</v>
      </c>
      <c r="O4" s="43" t="str">
        <f>'Fund IIB'!O6</f>
        <v>Valued at secondary price to the last round (Series F - May 24)</v>
      </c>
      <c r="P4" s="82">
        <v>843.43853799999999</v>
      </c>
      <c r="Q4" s="82">
        <v>504.83968458755032</v>
      </c>
      <c r="R4" s="83">
        <v>4.1978024605746123E-2</v>
      </c>
      <c r="S4" s="83">
        <v>1.7104227599042812E-2</v>
      </c>
      <c r="T4" s="82">
        <f>U4+V4</f>
        <v>2838.4874730632</v>
      </c>
      <c r="U4" s="82">
        <v>1708.5581222904</v>
      </c>
      <c r="V4" s="79">
        <v>1129.9293507728</v>
      </c>
      <c r="W4" s="84">
        <f t="shared" ref="W4:W9" si="2">T4/P4</f>
        <v>3.3653755966545602</v>
      </c>
      <c r="X4" s="68">
        <v>0.31594873535156254</v>
      </c>
      <c r="Y4" s="85" t="s">
        <v>1042</v>
      </c>
      <c r="Z4" s="50">
        <f>V4/(P4-Q4)</f>
        <v>3.3370737655641882</v>
      </c>
      <c r="AA4" s="43" t="s">
        <v>272</v>
      </c>
      <c r="AB4" s="43" t="s">
        <v>273</v>
      </c>
      <c r="AC4" s="43" t="s">
        <v>274</v>
      </c>
      <c r="AD4" s="43" t="s">
        <v>36</v>
      </c>
      <c r="AE4" s="43" t="s">
        <v>60</v>
      </c>
      <c r="AF4" s="43" t="s">
        <v>689</v>
      </c>
    </row>
    <row r="5" spans="2:32" x14ac:dyDescent="0.35">
      <c r="B5" s="4">
        <v>2</v>
      </c>
      <c r="C5" s="43" t="s">
        <v>419</v>
      </c>
      <c r="D5" s="43" t="s">
        <v>420</v>
      </c>
      <c r="E5" s="86" t="s">
        <v>81</v>
      </c>
      <c r="F5" s="77" t="s">
        <v>55</v>
      </c>
      <c r="G5" s="78">
        <v>44228</v>
      </c>
      <c r="H5" s="79" t="s">
        <v>421</v>
      </c>
      <c r="I5" s="79" t="s">
        <v>41</v>
      </c>
      <c r="J5" s="52">
        <v>17113.08480500001</v>
      </c>
      <c r="K5" s="80">
        <f>'Fund IIB'!K7</f>
        <v>65190.93</v>
      </c>
      <c r="L5" s="80">
        <f t="shared" si="0"/>
        <v>65190.93</v>
      </c>
      <c r="M5" s="81">
        <v>0.2</v>
      </c>
      <c r="N5" s="80">
        <f t="shared" si="1"/>
        <v>52152.744000000006</v>
      </c>
      <c r="O5" s="43" t="str">
        <f>'Fund IIB'!O7</f>
        <v>20% discount to the last round (Series E - May 22)</v>
      </c>
      <c r="P5" s="82">
        <v>692.58763799999997</v>
      </c>
      <c r="Q5" s="82">
        <f>P5</f>
        <v>692.58763799999997</v>
      </c>
      <c r="R5" s="83">
        <v>2.87E-2</v>
      </c>
      <c r="S5" s="83">
        <v>2.87E-2</v>
      </c>
      <c r="T5" s="82">
        <f>U5+V5</f>
        <v>1497.1151790000001</v>
      </c>
      <c r="U5" s="82">
        <v>1497.1151790000001</v>
      </c>
      <c r="V5" s="79">
        <v>0</v>
      </c>
      <c r="W5" s="84">
        <f t="shared" si="2"/>
        <v>2.1616256150965261</v>
      </c>
      <c r="X5" s="68">
        <v>0.18199328613281252</v>
      </c>
      <c r="Y5" s="85">
        <v>0</v>
      </c>
      <c r="Z5" s="50">
        <v>0</v>
      </c>
      <c r="AA5" s="43" t="s">
        <v>422</v>
      </c>
      <c r="AB5" s="43" t="s">
        <v>423</v>
      </c>
      <c r="AC5" s="43" t="s">
        <v>288</v>
      </c>
      <c r="AD5" s="43" t="s">
        <v>52</v>
      </c>
      <c r="AE5" s="43" t="s">
        <v>60</v>
      </c>
      <c r="AF5" s="43" t="s">
        <v>275</v>
      </c>
    </row>
    <row r="6" spans="2:32" x14ac:dyDescent="0.35">
      <c r="B6" s="4">
        <v>3</v>
      </c>
      <c r="C6" s="75" t="s">
        <v>424</v>
      </c>
      <c r="D6" s="43" t="s">
        <v>425</v>
      </c>
      <c r="E6" s="86" t="s">
        <v>962</v>
      </c>
      <c r="F6" s="87" t="s">
        <v>127</v>
      </c>
      <c r="G6" s="78">
        <v>44197</v>
      </c>
      <c r="H6" s="79" t="s">
        <v>57</v>
      </c>
      <c r="I6" s="79" t="s">
        <v>418</v>
      </c>
      <c r="J6" s="52">
        <v>1845.0280929950295</v>
      </c>
      <c r="K6" s="80">
        <v>27665.00087</v>
      </c>
      <c r="L6" s="80">
        <f t="shared" si="0"/>
        <v>27665.00087</v>
      </c>
      <c r="M6" s="81">
        <v>0.313209781086286</v>
      </c>
      <c r="N6" s="80">
        <f t="shared" si="1"/>
        <v>19000.052003755391</v>
      </c>
      <c r="O6" s="43" t="s">
        <v>1126</v>
      </c>
      <c r="P6" s="82">
        <v>571.51070300000003</v>
      </c>
      <c r="Q6" s="82">
        <f>P6</f>
        <v>571.51070300000003</v>
      </c>
      <c r="R6" s="83">
        <v>0.10971701476726536</v>
      </c>
      <c r="S6" s="83">
        <v>8.7800000000000003E-2</v>
      </c>
      <c r="T6" s="82">
        <f t="shared" ref="T6:T9" si="3">U6+V6</f>
        <v>1667.907823527946</v>
      </c>
      <c r="U6" s="82">
        <v>1667.907823527946</v>
      </c>
      <c r="V6" s="79">
        <v>0</v>
      </c>
      <c r="W6" s="84">
        <f>T6/P6</f>
        <v>2.9184192260489406</v>
      </c>
      <c r="X6" s="68">
        <v>0.26451676269531244</v>
      </c>
      <c r="Y6" s="85">
        <v>0</v>
      </c>
      <c r="Z6" s="50">
        <v>0</v>
      </c>
      <c r="AA6" s="43" t="s">
        <v>426</v>
      </c>
      <c r="AB6" s="43" t="s">
        <v>427</v>
      </c>
      <c r="AC6" s="43" t="s">
        <v>274</v>
      </c>
      <c r="AD6" s="43" t="s">
        <v>36</v>
      </c>
      <c r="AE6" s="43" t="s">
        <v>36</v>
      </c>
      <c r="AF6" s="43" t="s">
        <v>275</v>
      </c>
    </row>
    <row r="7" spans="2:32" x14ac:dyDescent="0.35">
      <c r="B7" s="4">
        <v>4</v>
      </c>
      <c r="C7" s="75" t="s">
        <v>428</v>
      </c>
      <c r="D7" s="43" t="s">
        <v>429</v>
      </c>
      <c r="E7" s="86" t="s">
        <v>81</v>
      </c>
      <c r="F7" s="77" t="s">
        <v>55</v>
      </c>
      <c r="G7" s="78">
        <v>44197</v>
      </c>
      <c r="H7" s="79" t="s">
        <v>421</v>
      </c>
      <c r="I7" s="79" t="s">
        <v>41</v>
      </c>
      <c r="J7" s="48">
        <v>1483.9114500000001</v>
      </c>
      <c r="K7" s="80">
        <v>10552.209996672</v>
      </c>
      <c r="L7" s="80">
        <f>K7*(1+13.7193310246606%)</f>
        <v>11999.90261653276</v>
      </c>
      <c r="M7" s="80">
        <v>0</v>
      </c>
      <c r="N7" s="80">
        <f t="shared" si="1"/>
        <v>11999.90261653276</v>
      </c>
      <c r="O7" s="43" t="s">
        <v>1040</v>
      </c>
      <c r="P7" s="82">
        <v>312.24298499999998</v>
      </c>
      <c r="Q7" s="82">
        <v>232.10136482545724</v>
      </c>
      <c r="R7" s="88">
        <v>0.12169149949051887</v>
      </c>
      <c r="S7" s="88">
        <v>8.2737881431741059E-2</v>
      </c>
      <c r="T7" s="82">
        <f t="shared" si="3"/>
        <v>1335.82446</v>
      </c>
      <c r="U7" s="82">
        <v>992.96604000000002</v>
      </c>
      <c r="V7" s="79">
        <v>342.85842000000002</v>
      </c>
      <c r="W7" s="84">
        <f t="shared" si="2"/>
        <v>4.2781568335314244</v>
      </c>
      <c r="X7" s="68">
        <v>0.3692275146484375</v>
      </c>
      <c r="Y7" s="85" t="s">
        <v>1041</v>
      </c>
      <c r="Z7" s="50">
        <f>V7/(P7-Q7)</f>
        <v>4.2781568335314262</v>
      </c>
      <c r="AA7" s="43" t="s">
        <v>430</v>
      </c>
      <c r="AB7" s="76" t="s">
        <v>431</v>
      </c>
      <c r="AC7" s="76" t="s">
        <v>432</v>
      </c>
      <c r="AD7" s="43" t="s">
        <v>36</v>
      </c>
      <c r="AE7" s="43" t="s">
        <v>36</v>
      </c>
      <c r="AF7" s="43" t="s">
        <v>689</v>
      </c>
    </row>
    <row r="8" spans="2:32" x14ac:dyDescent="0.35">
      <c r="B8" s="4">
        <v>5</v>
      </c>
      <c r="C8" s="75" t="s">
        <v>433</v>
      </c>
      <c r="D8" s="43" t="s">
        <v>434</v>
      </c>
      <c r="E8" s="86" t="s">
        <v>81</v>
      </c>
      <c r="F8" s="87" t="s">
        <v>127</v>
      </c>
      <c r="G8" s="78">
        <v>44197</v>
      </c>
      <c r="H8" s="79" t="s">
        <v>435</v>
      </c>
      <c r="I8" s="79" t="s">
        <v>57</v>
      </c>
      <c r="J8" s="52">
        <v>1470.2808639150255</v>
      </c>
      <c r="K8" s="80">
        <f>'Fund IIB'!K8</f>
        <v>6847.5</v>
      </c>
      <c r="L8" s="80">
        <f t="shared" si="0"/>
        <v>6847.5</v>
      </c>
      <c r="M8" s="80">
        <v>0</v>
      </c>
      <c r="N8" s="80">
        <f t="shared" si="1"/>
        <v>6847.5</v>
      </c>
      <c r="O8" s="43" t="s">
        <v>1127</v>
      </c>
      <c r="P8" s="82">
        <v>202.54614100000001</v>
      </c>
      <c r="Q8" s="82">
        <f t="shared" ref="Q8:Q9" si="4">P8</f>
        <v>202.54614100000001</v>
      </c>
      <c r="R8" s="83">
        <v>9.0178936869560425E-2</v>
      </c>
      <c r="S8" s="83">
        <v>7.6569999999999999E-2</v>
      </c>
      <c r="T8" s="82">
        <f t="shared" si="3"/>
        <v>540.51207599999998</v>
      </c>
      <c r="U8" s="82">
        <v>540.51207599999998</v>
      </c>
      <c r="V8" s="79">
        <v>0</v>
      </c>
      <c r="W8" s="84">
        <f t="shared" si="2"/>
        <v>2.6685873812821739</v>
      </c>
      <c r="X8" s="68">
        <v>0.2367500732421875</v>
      </c>
      <c r="Y8" s="85">
        <v>0</v>
      </c>
      <c r="Z8" s="50">
        <v>0</v>
      </c>
      <c r="AA8" s="43" t="s">
        <v>436</v>
      </c>
      <c r="AB8" s="76" t="s">
        <v>437</v>
      </c>
      <c r="AC8" s="76" t="s">
        <v>438</v>
      </c>
      <c r="AD8" s="43" t="s">
        <v>36</v>
      </c>
      <c r="AE8" s="43" t="s">
        <v>36</v>
      </c>
      <c r="AF8" s="43" t="s">
        <v>275</v>
      </c>
    </row>
    <row r="9" spans="2:32" x14ac:dyDescent="0.35">
      <c r="B9" s="4">
        <v>6</v>
      </c>
      <c r="C9" s="75" t="s">
        <v>439</v>
      </c>
      <c r="D9" s="43" t="s">
        <v>440</v>
      </c>
      <c r="E9" s="86" t="s">
        <v>92</v>
      </c>
      <c r="F9" s="43" t="s">
        <v>182</v>
      </c>
      <c r="G9" s="78">
        <v>44525</v>
      </c>
      <c r="H9" s="79" t="s">
        <v>66</v>
      </c>
      <c r="I9" s="79" t="s">
        <v>418</v>
      </c>
      <c r="J9" s="52">
        <v>16600.650767791387</v>
      </c>
      <c r="K9" s="80">
        <f>'Fund IIA'!K4</f>
        <v>41634.549999999996</v>
      </c>
      <c r="L9" s="80">
        <f t="shared" si="0"/>
        <v>41634.549999999996</v>
      </c>
      <c r="M9" s="81">
        <v>0.3</v>
      </c>
      <c r="N9" s="80">
        <f t="shared" si="1"/>
        <v>29144.184999999994</v>
      </c>
      <c r="O9" s="43" t="str">
        <f>'Fund IIA'!O4</f>
        <v>30% discount to the last round</v>
      </c>
      <c r="P9" s="82">
        <v>855.65972699999998</v>
      </c>
      <c r="Q9" s="82">
        <f t="shared" si="4"/>
        <v>855.65972699999998</v>
      </c>
      <c r="R9" s="83">
        <v>1.5964564125932116E-2</v>
      </c>
      <c r="S9" s="83">
        <v>8.1827508536731573E-3</v>
      </c>
      <c r="T9" s="82">
        <f t="shared" si="3"/>
        <v>254.95168636190513</v>
      </c>
      <c r="U9" s="82">
        <v>254.95168636190513</v>
      </c>
      <c r="V9" s="79">
        <v>0</v>
      </c>
      <c r="W9" s="84">
        <f t="shared" si="2"/>
        <v>0.2979591984021297</v>
      </c>
      <c r="X9" s="68">
        <v>-0.2556307955490425</v>
      </c>
      <c r="Y9" s="85">
        <v>0</v>
      </c>
      <c r="Z9" s="50">
        <v>0</v>
      </c>
      <c r="AA9" s="43" t="s">
        <v>441</v>
      </c>
      <c r="AB9" s="43" t="s">
        <v>442</v>
      </c>
      <c r="AC9" s="43" t="s">
        <v>443</v>
      </c>
      <c r="AD9" s="43" t="s">
        <v>69</v>
      </c>
      <c r="AE9" s="43" t="s">
        <v>36</v>
      </c>
      <c r="AF9" s="43" t="s">
        <v>275</v>
      </c>
    </row>
    <row r="10" spans="2:32" x14ac:dyDescent="0.35">
      <c r="B10" s="89"/>
      <c r="C10" s="44"/>
      <c r="D10" s="44"/>
      <c r="E10" s="44"/>
      <c r="F10" s="44"/>
      <c r="G10" s="44"/>
      <c r="H10" s="44"/>
      <c r="I10" s="44"/>
      <c r="J10" s="44"/>
      <c r="K10" s="44"/>
      <c r="L10" s="44"/>
      <c r="M10" s="44"/>
      <c r="N10" s="44"/>
      <c r="O10" s="54"/>
      <c r="P10" s="55">
        <f>SUM(P4:P9)</f>
        <v>3477.9857319999992</v>
      </c>
      <c r="Q10" s="55">
        <f>SUM(Q4:Q9)</f>
        <v>3059.2452584130078</v>
      </c>
      <c r="R10" s="44"/>
      <c r="S10" s="44"/>
      <c r="T10" s="55">
        <f>SUM(T4:T9)</f>
        <v>8134.7986979530515</v>
      </c>
      <c r="U10" s="55">
        <f>SUM(U4:U9)</f>
        <v>6662.0109271802521</v>
      </c>
      <c r="V10" s="55">
        <f>SUM(V4:V9)</f>
        <v>1472.7877707728001</v>
      </c>
      <c r="W10" s="55">
        <f>T10/P10</f>
        <v>2.338939640581899</v>
      </c>
      <c r="X10" s="90">
        <v>0.21340938964843759</v>
      </c>
      <c r="Y10" s="44"/>
      <c r="Z10" s="54"/>
      <c r="AA10" s="44"/>
      <c r="AB10" s="44"/>
      <c r="AC10" s="44"/>
      <c r="AD10" s="44"/>
      <c r="AE10" s="44"/>
      <c r="AF10" s="44"/>
    </row>
    <row r="11" spans="2:32" x14ac:dyDescent="0.35">
      <c r="B11" s="91"/>
      <c r="C11" s="92"/>
      <c r="E11" s="93"/>
      <c r="F11" s="94"/>
      <c r="H11" s="95"/>
      <c r="I11" s="95"/>
      <c r="J11" s="96"/>
      <c r="K11" s="97"/>
      <c r="L11" s="97"/>
      <c r="M11" s="97"/>
      <c r="N11" s="97"/>
      <c r="P11" s="97"/>
      <c r="Q11" s="97"/>
      <c r="R11" s="97"/>
      <c r="S11" s="97"/>
      <c r="T11" s="97"/>
      <c r="U11" s="98"/>
      <c r="V11" s="95"/>
      <c r="X11" s="99"/>
      <c r="Y11" s="99"/>
    </row>
    <row r="12" spans="2:32" x14ac:dyDescent="0.35">
      <c r="B12" s="91"/>
      <c r="C12" s="69" t="s">
        <v>264</v>
      </c>
      <c r="E12" s="93"/>
      <c r="F12" s="94"/>
      <c r="H12" s="95"/>
      <c r="I12" s="95"/>
      <c r="J12" s="96"/>
      <c r="K12" s="97"/>
      <c r="L12" s="97"/>
      <c r="M12" s="97"/>
      <c r="N12" s="97"/>
      <c r="P12" s="97"/>
      <c r="Q12" s="97"/>
      <c r="R12" s="100"/>
      <c r="S12" s="100"/>
      <c r="T12" s="98"/>
      <c r="U12" s="98"/>
      <c r="V12" s="95"/>
      <c r="X12" s="99"/>
      <c r="Y12" s="99"/>
    </row>
    <row r="13" spans="2:32" x14ac:dyDescent="0.35">
      <c r="K13" s="101"/>
      <c r="Q13" s="97"/>
    </row>
    <row r="14" spans="2:32" x14ac:dyDescent="0.35">
      <c r="K14" s="101"/>
      <c r="Q14" s="97"/>
    </row>
    <row r="15" spans="2:32" x14ac:dyDescent="0.35">
      <c r="Q15" s="101"/>
    </row>
    <row r="18" spans="2:2" x14ac:dyDescent="0.35">
      <c r="B18" s="19"/>
    </row>
  </sheetData>
  <pageMargins left="0.7" right="0.7" top="0.75" bottom="0.75" header="0.3" footer="0.3"/>
  <ignoredErrors>
    <ignoredError sqref="L7"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D8596-8549-4E33-8882-1ABC18BC9A8E}">
  <dimension ref="B2:AG18"/>
  <sheetViews>
    <sheetView showGridLines="0" tabSelected="1" zoomScaleNormal="100" workbookViewId="0">
      <pane xSplit="4" ySplit="3" topLeftCell="R4" activePane="bottomRight" state="frozen"/>
      <selection activeCell="T12" sqref="B1:AI56"/>
      <selection pane="topRight" activeCell="T12" sqref="B1:AI56"/>
      <selection pane="bottomLeft" activeCell="T12" sqref="B1:AI56"/>
      <selection pane="bottomRight" activeCell="P15" sqref="P15"/>
    </sheetView>
  </sheetViews>
  <sheetFormatPr defaultColWidth="8.6328125" defaultRowHeight="13" x14ac:dyDescent="0.3"/>
  <cols>
    <col min="1" max="1" width="4.08984375" style="43" customWidth="1"/>
    <col min="2" max="2" width="8.6328125" style="43"/>
    <col min="3" max="3" width="38.36328125" style="43" customWidth="1"/>
    <col min="4" max="4" width="21.90625" style="43" customWidth="1"/>
    <col min="5" max="5" width="14.6328125" style="43" customWidth="1"/>
    <col min="6" max="6" width="22.36328125" style="43" bestFit="1" customWidth="1"/>
    <col min="7" max="7" width="14.6328125" style="43" customWidth="1"/>
    <col min="8" max="8" width="16.90625" style="43" customWidth="1"/>
    <col min="9" max="9" width="16.6328125" style="43" customWidth="1"/>
    <col min="10" max="10" width="15" style="43" bestFit="1" customWidth="1"/>
    <col min="11" max="12" width="18.36328125" style="43" bestFit="1" customWidth="1"/>
    <col min="13" max="13" width="16" style="43" bestFit="1" customWidth="1"/>
    <col min="14" max="14" width="15.6328125" style="43" bestFit="1" customWidth="1"/>
    <col min="15" max="15" width="16.6328125" style="43" customWidth="1"/>
    <col min="16" max="23" width="18.6328125" style="43" customWidth="1"/>
    <col min="24" max="24" width="18.6328125" style="68" customWidth="1"/>
    <col min="25" max="25" width="11.54296875" style="43" customWidth="1"/>
    <col min="26" max="26" width="9.453125" style="43" customWidth="1"/>
    <col min="27" max="27" width="38.54296875" style="43" customWidth="1"/>
    <col min="28" max="28" width="55.453125" style="43" customWidth="1"/>
    <col min="29" max="29" width="46.6328125" style="43" bestFit="1" customWidth="1"/>
    <col min="30" max="30" width="17.453125" style="43" bestFit="1" customWidth="1"/>
    <col min="31" max="31" width="12" style="43" customWidth="1"/>
    <col min="32" max="32" width="11.08984375" style="43" customWidth="1"/>
    <col min="33" max="16384" width="8.6328125" style="43"/>
  </cols>
  <sheetData>
    <row r="2" spans="2:33" ht="39" x14ac:dyDescent="0.3">
      <c r="B2" s="40" t="s">
        <v>0</v>
      </c>
      <c r="C2" s="40" t="s">
        <v>1</v>
      </c>
      <c r="D2" s="40" t="s">
        <v>2</v>
      </c>
      <c r="E2" s="40" t="s">
        <v>3</v>
      </c>
      <c r="F2" s="40" t="s">
        <v>4</v>
      </c>
      <c r="G2" s="40" t="s">
        <v>5</v>
      </c>
      <c r="H2" s="40" t="s">
        <v>6</v>
      </c>
      <c r="I2" s="40" t="s">
        <v>7</v>
      </c>
      <c r="J2" s="40" t="s">
        <v>8</v>
      </c>
      <c r="K2" s="40" t="s">
        <v>9</v>
      </c>
      <c r="L2" s="41" t="s">
        <v>266</v>
      </c>
      <c r="M2" s="41" t="s">
        <v>11</v>
      </c>
      <c r="N2" s="41" t="s">
        <v>12</v>
      </c>
      <c r="O2" s="40" t="s">
        <v>13</v>
      </c>
      <c r="P2" s="40" t="s">
        <v>14</v>
      </c>
      <c r="Q2" s="40" t="s">
        <v>15</v>
      </c>
      <c r="R2" s="41" t="s">
        <v>621</v>
      </c>
      <c r="S2" s="41" t="s">
        <v>622</v>
      </c>
      <c r="T2" s="40" t="s">
        <v>16</v>
      </c>
      <c r="U2" s="40" t="s">
        <v>17</v>
      </c>
      <c r="V2" s="40" t="s">
        <v>18</v>
      </c>
      <c r="W2" s="40" t="s">
        <v>19</v>
      </c>
      <c r="X2" s="42" t="s">
        <v>1130</v>
      </c>
      <c r="Y2" s="41" t="s">
        <v>20</v>
      </c>
      <c r="Z2" s="41" t="s">
        <v>21</v>
      </c>
      <c r="AA2" s="40" t="s">
        <v>22</v>
      </c>
      <c r="AB2" s="40" t="s">
        <v>955</v>
      </c>
      <c r="AC2" s="40" t="s">
        <v>23</v>
      </c>
      <c r="AD2" s="40" t="s">
        <v>24</v>
      </c>
      <c r="AE2" s="40" t="s">
        <v>25</v>
      </c>
      <c r="AF2" s="40" t="s">
        <v>265</v>
      </c>
      <c r="AG2" s="40" t="s">
        <v>267</v>
      </c>
    </row>
    <row r="3" spans="2:33" x14ac:dyDescent="0.3">
      <c r="B3" s="44"/>
      <c r="C3" s="44"/>
      <c r="D3" s="44"/>
      <c r="E3" s="44"/>
      <c r="F3" s="44"/>
      <c r="G3" s="44" t="s">
        <v>26</v>
      </c>
      <c r="H3" s="44"/>
      <c r="I3" s="44"/>
      <c r="J3" s="44" t="s">
        <v>1129</v>
      </c>
      <c r="K3" s="44" t="s">
        <v>1129</v>
      </c>
      <c r="L3" s="44" t="s">
        <v>1129</v>
      </c>
      <c r="M3" s="44"/>
      <c r="N3" s="44" t="s">
        <v>1129</v>
      </c>
      <c r="O3" s="44"/>
      <c r="P3" s="44" t="s">
        <v>1129</v>
      </c>
      <c r="Q3" s="44" t="s">
        <v>1129</v>
      </c>
      <c r="R3" s="44" t="s">
        <v>27</v>
      </c>
      <c r="S3" s="44" t="s">
        <v>27</v>
      </c>
      <c r="T3" s="44" t="s">
        <v>1129</v>
      </c>
      <c r="U3" s="44" t="s">
        <v>1129</v>
      </c>
      <c r="V3" s="44" t="s">
        <v>1129</v>
      </c>
      <c r="W3" s="44" t="s">
        <v>268</v>
      </c>
      <c r="X3" s="45" t="s">
        <v>27</v>
      </c>
      <c r="Y3" s="44"/>
      <c r="Z3" s="44"/>
      <c r="AA3" s="44"/>
      <c r="AB3" s="44"/>
      <c r="AC3" s="44"/>
      <c r="AD3" s="44"/>
      <c r="AE3" s="44"/>
      <c r="AF3" s="44"/>
      <c r="AG3" s="46"/>
    </row>
    <row r="4" spans="2:33" x14ac:dyDescent="0.3">
      <c r="B4" s="4">
        <v>1</v>
      </c>
      <c r="C4" s="43" t="s">
        <v>269</v>
      </c>
      <c r="D4" s="43" t="s">
        <v>270</v>
      </c>
      <c r="E4" s="43" t="s">
        <v>81</v>
      </c>
      <c r="F4" s="43" t="s">
        <v>271</v>
      </c>
      <c r="G4" s="47">
        <v>44921</v>
      </c>
      <c r="H4" s="4" t="s">
        <v>41</v>
      </c>
      <c r="I4" s="4" t="s">
        <v>47</v>
      </c>
      <c r="J4" s="48">
        <v>86757.374045999997</v>
      </c>
      <c r="K4" s="48">
        <f>'Fund 1X'!K4</f>
        <v>106410.97626136146</v>
      </c>
      <c r="L4" s="48">
        <f>K4</f>
        <v>106410.97626136146</v>
      </c>
      <c r="M4" s="60">
        <f>'Fund 1X'!M4</f>
        <v>0.11516728096038864</v>
      </c>
      <c r="N4" s="50">
        <f>L4*(1-M4)</f>
        <v>94155.913461000004</v>
      </c>
      <c r="O4" s="43" t="str">
        <f>'Fund 1X'!O4</f>
        <v>Valued at secondary price to the last round (Series F - May 24)</v>
      </c>
      <c r="P4" s="51">
        <v>453.77958366000001</v>
      </c>
      <c r="Q4" s="51">
        <f>P4</f>
        <v>453.77958366000001</v>
      </c>
      <c r="R4" s="6">
        <v>5.3688721232276106E-3</v>
      </c>
      <c r="S4" s="6">
        <v>4.6601457253840125E-3</v>
      </c>
      <c r="T4" s="51">
        <f>U4+V4</f>
        <v>492.57347699999997</v>
      </c>
      <c r="U4" s="51">
        <v>492.57347699999997</v>
      </c>
      <c r="V4" s="52">
        <v>0</v>
      </c>
      <c r="W4" s="48">
        <f t="shared" ref="W4:W15" si="0">T4/P4</f>
        <v>1.0854906098399235</v>
      </c>
      <c r="X4" s="6">
        <v>2.7590760588645936E-2</v>
      </c>
      <c r="Y4" s="53">
        <v>0</v>
      </c>
      <c r="Z4" s="53">
        <v>0</v>
      </c>
      <c r="AA4" s="43" t="s">
        <v>272</v>
      </c>
      <c r="AB4" s="43" t="s">
        <v>273</v>
      </c>
      <c r="AC4" s="43" t="s">
        <v>274</v>
      </c>
      <c r="AD4" s="43" t="s">
        <v>36</v>
      </c>
      <c r="AE4" s="43" t="s">
        <v>60</v>
      </c>
      <c r="AF4" s="43" t="s">
        <v>275</v>
      </c>
      <c r="AG4" s="43" t="s">
        <v>276</v>
      </c>
    </row>
    <row r="5" spans="2:33" x14ac:dyDescent="0.3">
      <c r="B5" s="4">
        <f>B4+1</f>
        <v>2</v>
      </c>
      <c r="C5" s="43" t="s">
        <v>277</v>
      </c>
      <c r="D5" s="43" t="s">
        <v>278</v>
      </c>
      <c r="E5" s="43" t="s">
        <v>279</v>
      </c>
      <c r="F5" s="43" t="s">
        <v>55</v>
      </c>
      <c r="G5" s="47">
        <v>44869</v>
      </c>
      <c r="H5" s="4" t="s">
        <v>41</v>
      </c>
      <c r="I5" s="4" t="s">
        <v>47</v>
      </c>
      <c r="J5" s="52">
        <v>7867.9016638950006</v>
      </c>
      <c r="K5" s="48">
        <v>16712.582827999999</v>
      </c>
      <c r="L5" s="48">
        <v>14053.271459508407</v>
      </c>
      <c r="M5" s="60">
        <v>0.25</v>
      </c>
      <c r="N5" s="50">
        <f t="shared" ref="N5:N13" si="1">L5*(1-M5)</f>
        <v>10539.953594631304</v>
      </c>
      <c r="O5" s="43" t="s">
        <v>1128</v>
      </c>
      <c r="P5" s="51">
        <v>804.04448900000011</v>
      </c>
      <c r="Q5" s="51">
        <f t="shared" ref="Q5:Q13" si="2">P5</f>
        <v>804.04448900000011</v>
      </c>
      <c r="R5" s="6">
        <v>8.6099999999999996E-2</v>
      </c>
      <c r="S5" s="6">
        <v>8.7885100036002681E-2</v>
      </c>
      <c r="T5" s="51">
        <f t="shared" ref="T5:T14" si="3">U5+V5</f>
        <v>853.520625</v>
      </c>
      <c r="U5" s="51">
        <v>853.520625</v>
      </c>
      <c r="V5" s="52">
        <v>0</v>
      </c>
      <c r="W5" s="48">
        <f t="shared" si="0"/>
        <v>1.0615340776249009</v>
      </c>
      <c r="X5" s="6">
        <v>2.1147158741950989E-2</v>
      </c>
      <c r="Y5" s="53">
        <v>0</v>
      </c>
      <c r="Z5" s="53">
        <v>0</v>
      </c>
      <c r="AA5" s="43" t="s">
        <v>280</v>
      </c>
      <c r="AB5" s="43" t="s">
        <v>978</v>
      </c>
      <c r="AC5" s="43" t="s">
        <v>281</v>
      </c>
      <c r="AD5" s="43" t="s">
        <v>36</v>
      </c>
      <c r="AE5" s="43" t="s">
        <v>36</v>
      </c>
      <c r="AF5" s="43" t="s">
        <v>275</v>
      </c>
      <c r="AG5" s="43" t="s">
        <v>282</v>
      </c>
    </row>
    <row r="6" spans="2:33" x14ac:dyDescent="0.3">
      <c r="B6" s="4">
        <f t="shared" ref="B6:B13" si="4">B5+1</f>
        <v>3</v>
      </c>
      <c r="C6" s="43" t="s">
        <v>283</v>
      </c>
      <c r="D6" s="43" t="s">
        <v>284</v>
      </c>
      <c r="E6" s="43" t="s">
        <v>279</v>
      </c>
      <c r="F6" s="43" t="s">
        <v>285</v>
      </c>
      <c r="G6" s="47">
        <v>44981</v>
      </c>
      <c r="H6" s="4" t="s">
        <v>41</v>
      </c>
      <c r="I6" s="4" t="s">
        <v>41</v>
      </c>
      <c r="J6" s="52">
        <f>'Fund IIA'!K12</f>
        <v>19884.009999999998</v>
      </c>
      <c r="K6" s="48">
        <v>257.8</v>
      </c>
      <c r="L6" s="48">
        <v>257.8</v>
      </c>
      <c r="M6" s="53">
        <v>0</v>
      </c>
      <c r="N6" s="50">
        <f t="shared" si="1"/>
        <v>257.8</v>
      </c>
      <c r="O6" s="43" t="s">
        <v>104</v>
      </c>
      <c r="P6" s="51">
        <v>656.40801669999996</v>
      </c>
      <c r="Q6" s="51">
        <f t="shared" si="2"/>
        <v>656.40801669999996</v>
      </c>
      <c r="R6" s="6">
        <v>3.61E-2</v>
      </c>
      <c r="S6" s="6">
        <v>3.61E-2</v>
      </c>
      <c r="T6" s="51">
        <f t="shared" si="3"/>
        <v>656.40801669999996</v>
      </c>
      <c r="U6" s="51">
        <v>656.40801669999996</v>
      </c>
      <c r="V6" s="52">
        <v>0</v>
      </c>
      <c r="W6" s="48">
        <f t="shared" si="0"/>
        <v>1</v>
      </c>
      <c r="X6" s="6" t="s">
        <v>49</v>
      </c>
      <c r="Y6" s="53">
        <v>0</v>
      </c>
      <c r="Z6" s="53">
        <v>0</v>
      </c>
      <c r="AA6" s="43" t="s">
        <v>286</v>
      </c>
      <c r="AB6" s="43" t="s">
        <v>287</v>
      </c>
      <c r="AC6" s="43" t="s">
        <v>288</v>
      </c>
      <c r="AD6" s="43" t="s">
        <v>43</v>
      </c>
      <c r="AE6" s="43" t="s">
        <v>43</v>
      </c>
      <c r="AF6" s="43" t="s">
        <v>275</v>
      </c>
      <c r="AG6" s="43" t="s">
        <v>289</v>
      </c>
    </row>
    <row r="7" spans="2:33" x14ac:dyDescent="0.3">
      <c r="B7" s="4">
        <f t="shared" si="4"/>
        <v>4</v>
      </c>
      <c r="C7" s="43" t="s">
        <v>290</v>
      </c>
      <c r="D7" s="43" t="s">
        <v>291</v>
      </c>
      <c r="E7" s="43" t="s">
        <v>292</v>
      </c>
      <c r="F7" s="43" t="s">
        <v>293</v>
      </c>
      <c r="G7" s="47">
        <v>45280</v>
      </c>
      <c r="H7" s="4" t="s">
        <v>66</v>
      </c>
      <c r="I7" s="4" t="s">
        <v>66</v>
      </c>
      <c r="J7" s="48">
        <f>'Fund I'!K5</f>
        <v>48917.542305129602</v>
      </c>
      <c r="K7" s="48">
        <f t="shared" ref="K7:L9" si="5">J7</f>
        <v>48917.542305129602</v>
      </c>
      <c r="L7" s="48">
        <f t="shared" si="5"/>
        <v>48917.542305129602</v>
      </c>
      <c r="M7" s="53">
        <v>0</v>
      </c>
      <c r="N7" s="50">
        <f t="shared" si="1"/>
        <v>48917.542305129602</v>
      </c>
      <c r="O7" s="43" t="s">
        <v>104</v>
      </c>
      <c r="P7" s="51">
        <v>129.9775220898</v>
      </c>
      <c r="Q7" s="51">
        <f t="shared" si="2"/>
        <v>129.9775220898</v>
      </c>
      <c r="R7" s="6">
        <v>2.8300000000000001E-3</v>
      </c>
      <c r="S7" s="6">
        <v>2.8300000000000001E-3</v>
      </c>
      <c r="T7" s="51">
        <f t="shared" si="3"/>
        <v>140.55597729479999</v>
      </c>
      <c r="U7" s="51">
        <v>140.55597729479999</v>
      </c>
      <c r="V7" s="52">
        <v>0</v>
      </c>
      <c r="W7" s="48">
        <f t="shared" si="0"/>
        <v>1.0813868046945183</v>
      </c>
      <c r="X7" s="6">
        <v>3.9239761233329784E-2</v>
      </c>
      <c r="Y7" s="53">
        <v>0</v>
      </c>
      <c r="Z7" s="53">
        <v>0</v>
      </c>
      <c r="AA7" s="43" t="s">
        <v>294</v>
      </c>
      <c r="AB7" s="43" t="s">
        <v>295</v>
      </c>
      <c r="AC7" s="43" t="s">
        <v>51</v>
      </c>
      <c r="AD7" s="43" t="s">
        <v>69</v>
      </c>
      <c r="AE7" s="43" t="s">
        <v>36</v>
      </c>
      <c r="AF7" s="43" t="s">
        <v>275</v>
      </c>
      <c r="AG7" s="43" t="s">
        <v>296</v>
      </c>
    </row>
    <row r="8" spans="2:33" x14ac:dyDescent="0.3">
      <c r="B8" s="4">
        <f t="shared" si="4"/>
        <v>5</v>
      </c>
      <c r="C8" s="43" t="s">
        <v>297</v>
      </c>
      <c r="D8" s="43" t="s">
        <v>298</v>
      </c>
      <c r="E8" s="43" t="s">
        <v>30</v>
      </c>
      <c r="F8" s="43" t="s">
        <v>64</v>
      </c>
      <c r="G8" s="47">
        <v>45364</v>
      </c>
      <c r="H8" s="4" t="s">
        <v>300</v>
      </c>
      <c r="I8" s="4" t="s">
        <v>300</v>
      </c>
      <c r="J8" s="48">
        <f>'Fund III'!K19</f>
        <v>10382.79214</v>
      </c>
      <c r="K8" s="48">
        <f t="shared" si="5"/>
        <v>10382.79214</v>
      </c>
      <c r="L8" s="48">
        <f t="shared" si="5"/>
        <v>10382.79214</v>
      </c>
      <c r="M8" s="53">
        <v>0</v>
      </c>
      <c r="N8" s="50">
        <f t="shared" si="1"/>
        <v>10382.79214</v>
      </c>
      <c r="O8" s="43" t="s">
        <v>104</v>
      </c>
      <c r="P8" s="51">
        <v>298.51990000000001</v>
      </c>
      <c r="Q8" s="51">
        <f t="shared" si="2"/>
        <v>298.51990000000001</v>
      </c>
      <c r="R8" s="6">
        <v>2.8799999999999999E-2</v>
      </c>
      <c r="S8" s="6">
        <v>2.8799999999999999E-2</v>
      </c>
      <c r="T8" s="51">
        <f t="shared" si="3"/>
        <v>298.51990000000001</v>
      </c>
      <c r="U8" s="51">
        <v>298.51990000000001</v>
      </c>
      <c r="V8" s="52">
        <v>0</v>
      </c>
      <c r="W8" s="48">
        <f t="shared" si="0"/>
        <v>1</v>
      </c>
      <c r="X8" s="6" t="s">
        <v>49</v>
      </c>
      <c r="Y8" s="53">
        <v>0</v>
      </c>
      <c r="Z8" s="53">
        <v>0</v>
      </c>
      <c r="AA8" s="43" t="s">
        <v>301</v>
      </c>
      <c r="AB8" s="43" t="s">
        <v>302</v>
      </c>
      <c r="AC8" s="43" t="s">
        <v>303</v>
      </c>
      <c r="AD8" s="43" t="s">
        <v>36</v>
      </c>
      <c r="AE8" s="43" t="s">
        <v>36</v>
      </c>
      <c r="AF8" s="43" t="s">
        <v>275</v>
      </c>
      <c r="AG8" s="8"/>
    </row>
    <row r="9" spans="2:33" x14ac:dyDescent="0.3">
      <c r="B9" s="4">
        <f t="shared" si="4"/>
        <v>6</v>
      </c>
      <c r="C9" s="43" t="s">
        <v>304</v>
      </c>
      <c r="D9" s="43" t="s">
        <v>305</v>
      </c>
      <c r="E9" s="43" t="s">
        <v>30</v>
      </c>
      <c r="F9" s="43" t="s">
        <v>127</v>
      </c>
      <c r="G9" s="47">
        <v>45398</v>
      </c>
      <c r="H9" s="4" t="s">
        <v>111</v>
      </c>
      <c r="I9" s="4" t="s">
        <v>111</v>
      </c>
      <c r="J9" s="51">
        <f>'Fund III'!K12</f>
        <v>8724.1050028399986</v>
      </c>
      <c r="K9" s="48">
        <f t="shared" si="5"/>
        <v>8724.1050028399986</v>
      </c>
      <c r="L9" s="48">
        <f t="shared" si="5"/>
        <v>8724.1050028399986</v>
      </c>
      <c r="M9" s="53">
        <v>0</v>
      </c>
      <c r="N9" s="50">
        <f t="shared" si="1"/>
        <v>8724.1050028399986</v>
      </c>
      <c r="O9" s="43" t="s">
        <v>104</v>
      </c>
      <c r="P9" s="51">
        <v>166.24475752000001</v>
      </c>
      <c r="Q9" s="51">
        <f t="shared" si="2"/>
        <v>166.24475752000001</v>
      </c>
      <c r="R9" s="6">
        <v>1.43E-2</v>
      </c>
      <c r="S9" s="6">
        <v>1.43E-2</v>
      </c>
      <c r="T9" s="51">
        <f t="shared" si="3"/>
        <v>166.24475752000001</v>
      </c>
      <c r="U9" s="51">
        <v>166.24475752000001</v>
      </c>
      <c r="V9" s="52">
        <v>0</v>
      </c>
      <c r="W9" s="48">
        <f t="shared" si="0"/>
        <v>1</v>
      </c>
      <c r="X9" s="6" t="s">
        <v>49</v>
      </c>
      <c r="Y9" s="53">
        <v>0</v>
      </c>
      <c r="Z9" s="53">
        <v>0</v>
      </c>
      <c r="AA9" s="43" t="s">
        <v>306</v>
      </c>
      <c r="AB9" s="43" t="s">
        <v>307</v>
      </c>
      <c r="AC9" s="43" t="s">
        <v>124</v>
      </c>
      <c r="AD9" s="43" t="s">
        <v>36</v>
      </c>
      <c r="AE9" s="43" t="s">
        <v>69</v>
      </c>
      <c r="AF9" s="43" t="s">
        <v>275</v>
      </c>
      <c r="AG9" s="8"/>
    </row>
    <row r="10" spans="2:33" x14ac:dyDescent="0.3">
      <c r="B10" s="4">
        <f t="shared" si="4"/>
        <v>7</v>
      </c>
      <c r="C10" s="43" t="s">
        <v>308</v>
      </c>
      <c r="D10" s="43" t="s">
        <v>309</v>
      </c>
      <c r="E10" s="43" t="s">
        <v>279</v>
      </c>
      <c r="F10" s="43" t="s">
        <v>310</v>
      </c>
      <c r="G10" s="47">
        <v>45430</v>
      </c>
      <c r="H10" s="4" t="s">
        <v>311</v>
      </c>
      <c r="I10" s="4" t="str">
        <f>'Fund III'!I10</f>
        <v>Series D</v>
      </c>
      <c r="J10" s="48">
        <v>7323.6953624999996</v>
      </c>
      <c r="K10" s="51">
        <f>'Fund III'!K10</f>
        <v>14380.000000000002</v>
      </c>
      <c r="L10" s="48">
        <f>K10</f>
        <v>14380.000000000002</v>
      </c>
      <c r="M10" s="53">
        <v>0</v>
      </c>
      <c r="N10" s="50">
        <f t="shared" si="1"/>
        <v>14380.000000000002</v>
      </c>
      <c r="O10" s="43" t="str">
        <f>'Fund III'!O10</f>
        <v>Marked up to the Series D round (Mar 25)</v>
      </c>
      <c r="P10" s="51">
        <v>319.99777080000001</v>
      </c>
      <c r="Q10" s="51">
        <f t="shared" si="2"/>
        <v>319.99777080000001</v>
      </c>
      <c r="R10" s="6">
        <v>4.3799999999999999E-2</v>
      </c>
      <c r="S10" s="6">
        <v>2.1936254992321033E-2</v>
      </c>
      <c r="T10" s="51">
        <f t="shared" si="3"/>
        <v>328.08092399999998</v>
      </c>
      <c r="U10" s="51">
        <v>328.08092399999998</v>
      </c>
      <c r="V10" s="52">
        <v>0</v>
      </c>
      <c r="W10" s="48">
        <f t="shared" si="0"/>
        <v>1.0252600297176819</v>
      </c>
      <c r="X10" s="6">
        <v>1.5499612689018248E-2</v>
      </c>
      <c r="Y10" s="53">
        <v>0</v>
      </c>
      <c r="Z10" s="53">
        <v>0</v>
      </c>
      <c r="AA10" s="43" t="s">
        <v>312</v>
      </c>
      <c r="AB10" s="43" t="s">
        <v>313</v>
      </c>
      <c r="AC10" s="43" t="s">
        <v>314</v>
      </c>
      <c r="AD10" s="43" t="s">
        <v>43</v>
      </c>
      <c r="AE10" s="43" t="s">
        <v>43</v>
      </c>
      <c r="AF10" s="43" t="s">
        <v>275</v>
      </c>
      <c r="AG10" s="8"/>
    </row>
    <row r="11" spans="2:33" x14ac:dyDescent="0.3">
      <c r="B11" s="4">
        <f t="shared" si="4"/>
        <v>8</v>
      </c>
      <c r="C11" s="43" t="s">
        <v>315</v>
      </c>
      <c r="D11" s="43" t="s">
        <v>316</v>
      </c>
      <c r="E11" s="43" t="s">
        <v>279</v>
      </c>
      <c r="F11" s="43" t="s">
        <v>40</v>
      </c>
      <c r="G11" s="47">
        <v>45440</v>
      </c>
      <c r="H11" s="4" t="s">
        <v>311</v>
      </c>
      <c r="I11" s="4" t="s">
        <v>418</v>
      </c>
      <c r="J11" s="51">
        <v>7572.5083999999997</v>
      </c>
      <c r="K11" s="61">
        <f>'Fund IIA'!K6</f>
        <v>11500</v>
      </c>
      <c r="L11" s="51">
        <f>K11</f>
        <v>11500</v>
      </c>
      <c r="M11" s="53">
        <v>0</v>
      </c>
      <c r="N11" s="50">
        <f t="shared" si="1"/>
        <v>11500</v>
      </c>
      <c r="O11" s="43" t="str">
        <f>'Fund IIA'!O6</f>
        <v>Marked up to the last round (Series D - Oct'25)</v>
      </c>
      <c r="P11" s="51">
        <v>183.83928</v>
      </c>
      <c r="Q11" s="51">
        <f t="shared" si="2"/>
        <v>183.83928</v>
      </c>
      <c r="R11" s="6">
        <v>2.4299999999999999E-2</v>
      </c>
      <c r="S11" s="6">
        <v>1.9615604853513751E-2</v>
      </c>
      <c r="T11" s="51">
        <f t="shared" si="3"/>
        <v>239.87510161850565</v>
      </c>
      <c r="U11" s="51">
        <v>239.87510161850565</v>
      </c>
      <c r="V11" s="52">
        <v>0</v>
      </c>
      <c r="W11" s="48">
        <f t="shared" si="0"/>
        <v>1.3048087526153587</v>
      </c>
      <c r="X11" s="6">
        <v>0.1815849602222443</v>
      </c>
      <c r="Y11" s="53">
        <v>0</v>
      </c>
      <c r="Z11" s="53">
        <v>0</v>
      </c>
      <c r="AA11" s="43" t="s">
        <v>317</v>
      </c>
      <c r="AB11" s="43" t="s">
        <v>1078</v>
      </c>
      <c r="AC11" s="43" t="s">
        <v>51</v>
      </c>
      <c r="AD11" s="43" t="s">
        <v>36</v>
      </c>
      <c r="AE11" s="43" t="s">
        <v>36</v>
      </c>
      <c r="AF11" s="43" t="s">
        <v>275</v>
      </c>
      <c r="AG11" s="8"/>
    </row>
    <row r="12" spans="2:33" x14ac:dyDescent="0.3">
      <c r="B12" s="4">
        <f t="shared" si="4"/>
        <v>9</v>
      </c>
      <c r="C12" s="43" t="s">
        <v>152</v>
      </c>
      <c r="D12" s="43" t="s">
        <v>153</v>
      </c>
      <c r="E12" s="43" t="s">
        <v>30</v>
      </c>
      <c r="F12" s="43" t="s">
        <v>154</v>
      </c>
      <c r="G12" s="47">
        <v>45495</v>
      </c>
      <c r="H12" s="4" t="s">
        <v>155</v>
      </c>
      <c r="I12" s="4" t="s">
        <v>66</v>
      </c>
      <c r="J12" s="51">
        <f>'Fund II'!K26</f>
        <v>6245.8286155266969</v>
      </c>
      <c r="K12" s="51">
        <f>J12</f>
        <v>6245.8286155266969</v>
      </c>
      <c r="L12" s="51">
        <f>K12</f>
        <v>6245.8286155266969</v>
      </c>
      <c r="M12" s="53">
        <v>0</v>
      </c>
      <c r="N12" s="50">
        <f t="shared" si="1"/>
        <v>6245.8286155266969</v>
      </c>
      <c r="O12" s="43" t="s">
        <v>104</v>
      </c>
      <c r="P12" s="51">
        <v>249.98934000000003</v>
      </c>
      <c r="Q12" s="51">
        <f t="shared" si="2"/>
        <v>249.98934000000003</v>
      </c>
      <c r="R12" s="6">
        <v>1.0200000000000001E-2</v>
      </c>
      <c r="S12" s="6">
        <v>4.6199999999999998E-2</v>
      </c>
      <c r="T12" s="51">
        <f t="shared" si="3"/>
        <v>249.98934000000003</v>
      </c>
      <c r="U12" s="51">
        <v>249.98934000000003</v>
      </c>
      <c r="V12" s="52">
        <v>0</v>
      </c>
      <c r="W12" s="48">
        <f t="shared" si="0"/>
        <v>1</v>
      </c>
      <c r="X12" s="6" t="s">
        <v>49</v>
      </c>
      <c r="Y12" s="53">
        <v>0</v>
      </c>
      <c r="Z12" s="53">
        <v>0</v>
      </c>
      <c r="AA12" s="43" t="s">
        <v>156</v>
      </c>
      <c r="AB12" s="43" t="s">
        <v>968</v>
      </c>
      <c r="AC12" s="43" t="s">
        <v>157</v>
      </c>
      <c r="AD12" s="43" t="s">
        <v>36</v>
      </c>
      <c r="AE12" s="43" t="s">
        <v>60</v>
      </c>
      <c r="AF12" s="43" t="s">
        <v>275</v>
      </c>
      <c r="AG12" s="8"/>
    </row>
    <row r="13" spans="2:33" x14ac:dyDescent="0.3">
      <c r="B13" s="4">
        <f t="shared" si="4"/>
        <v>10</v>
      </c>
      <c r="C13" s="43" t="s">
        <v>53</v>
      </c>
      <c r="D13" s="43" t="s">
        <v>54</v>
      </c>
      <c r="E13" s="43" t="s">
        <v>30</v>
      </c>
      <c r="F13" s="43" t="s">
        <v>55</v>
      </c>
      <c r="G13" s="47">
        <v>45554</v>
      </c>
      <c r="H13" s="4" t="s">
        <v>121</v>
      </c>
      <c r="I13" s="4" t="s">
        <v>988</v>
      </c>
      <c r="J13" s="62">
        <f>'Fund IIB'!K4</f>
        <v>19454.7648189748</v>
      </c>
      <c r="K13" s="51">
        <f>J13</f>
        <v>19454.7648189748</v>
      </c>
      <c r="L13" s="51">
        <f>K13</f>
        <v>19454.7648189748</v>
      </c>
      <c r="M13" s="53">
        <v>0</v>
      </c>
      <c r="N13" s="50">
        <f t="shared" si="1"/>
        <v>19454.7648189748</v>
      </c>
      <c r="O13" s="43" t="s">
        <v>104</v>
      </c>
      <c r="P13" s="51">
        <v>170</v>
      </c>
      <c r="Q13" s="51">
        <f t="shared" si="2"/>
        <v>170</v>
      </c>
      <c r="R13" s="6">
        <v>8.8999999999999999E-3</v>
      </c>
      <c r="S13" s="6">
        <v>8.7382192271064432E-3</v>
      </c>
      <c r="T13" s="51">
        <f t="shared" si="3"/>
        <v>170</v>
      </c>
      <c r="U13" s="51">
        <v>170</v>
      </c>
      <c r="V13" s="52">
        <v>0</v>
      </c>
      <c r="W13" s="48">
        <f t="shared" si="0"/>
        <v>1</v>
      </c>
      <c r="X13" s="6" t="s">
        <v>49</v>
      </c>
      <c r="Y13" s="53">
        <v>0</v>
      </c>
      <c r="Z13" s="53">
        <v>0</v>
      </c>
      <c r="AA13" s="43" t="s">
        <v>58</v>
      </c>
      <c r="AC13" s="43" t="s">
        <v>59</v>
      </c>
      <c r="AD13" s="43" t="s">
        <v>960</v>
      </c>
      <c r="AE13" s="43" t="s">
        <v>60</v>
      </c>
      <c r="AF13" s="43" t="s">
        <v>275</v>
      </c>
      <c r="AG13" s="8"/>
    </row>
    <row r="14" spans="2:33" x14ac:dyDescent="0.3">
      <c r="B14" s="4">
        <f>B13+1</f>
        <v>11</v>
      </c>
      <c r="C14" s="43" t="s">
        <v>1023</v>
      </c>
      <c r="D14" s="43" t="s">
        <v>1029</v>
      </c>
      <c r="E14" s="43" t="s">
        <v>30</v>
      </c>
      <c r="F14" s="43" t="s">
        <v>55</v>
      </c>
      <c r="G14" s="47">
        <v>45786</v>
      </c>
      <c r="H14" s="4" t="s">
        <v>32</v>
      </c>
      <c r="I14" s="4" t="s">
        <v>32</v>
      </c>
      <c r="J14" s="63" t="s">
        <v>1027</v>
      </c>
      <c r="K14" s="63" t="s">
        <v>1027</v>
      </c>
      <c r="L14" s="63" t="s">
        <v>1027</v>
      </c>
      <c r="M14" s="53">
        <v>0</v>
      </c>
      <c r="N14" s="53">
        <v>0</v>
      </c>
      <c r="O14" s="43" t="s">
        <v>104</v>
      </c>
      <c r="P14" s="51">
        <v>9.2589999999999999E-3</v>
      </c>
      <c r="Q14" s="51">
        <f t="shared" ref="Q14" si="6">P14</f>
        <v>9.2589999999999999E-3</v>
      </c>
      <c r="R14" s="6">
        <v>8.3331008333100802E-3</v>
      </c>
      <c r="S14" s="6">
        <v>8.3331008333100802E-3</v>
      </c>
      <c r="T14" s="51">
        <f t="shared" si="3"/>
        <v>9.2589999999999999E-3</v>
      </c>
      <c r="U14" s="51">
        <v>9.2589999999999999E-3</v>
      </c>
      <c r="V14" s="52">
        <v>0</v>
      </c>
      <c r="W14" s="48">
        <f t="shared" si="0"/>
        <v>1</v>
      </c>
      <c r="X14" s="6" t="s">
        <v>49</v>
      </c>
      <c r="Y14" s="53">
        <v>0</v>
      </c>
      <c r="Z14" s="53">
        <v>0</v>
      </c>
      <c r="AA14" s="4" t="s">
        <v>321</v>
      </c>
      <c r="AB14" s="4" t="s">
        <v>321</v>
      </c>
      <c r="AC14" s="4" t="s">
        <v>321</v>
      </c>
      <c r="AD14" s="43" t="s">
        <v>36</v>
      </c>
      <c r="AE14" s="43" t="s">
        <v>60</v>
      </c>
      <c r="AF14" s="43" t="s">
        <v>275</v>
      </c>
      <c r="AG14" s="43" t="s">
        <v>1028</v>
      </c>
    </row>
    <row r="15" spans="2:33" s="67" customFormat="1" x14ac:dyDescent="0.3">
      <c r="B15" s="64"/>
      <c r="C15" s="54"/>
      <c r="D15" s="54"/>
      <c r="E15" s="54"/>
      <c r="F15" s="54"/>
      <c r="G15" s="54"/>
      <c r="H15" s="54"/>
      <c r="I15" s="54"/>
      <c r="J15" s="54"/>
      <c r="K15" s="54"/>
      <c r="L15" s="54"/>
      <c r="M15" s="54"/>
      <c r="N15" s="54"/>
      <c r="O15" s="54"/>
      <c r="P15" s="55">
        <f>SUM(P4:P14)</f>
        <v>3432.8099187698003</v>
      </c>
      <c r="Q15" s="55">
        <f>SUM(Q4:Q14)</f>
        <v>3432.8099187698003</v>
      </c>
      <c r="R15" s="54"/>
      <c r="S15" s="54"/>
      <c r="T15" s="55">
        <f>SUM(T4:T14)</f>
        <v>3595.7773781333058</v>
      </c>
      <c r="U15" s="55">
        <f>SUM(U4:U14)</f>
        <v>3595.7773781333058</v>
      </c>
      <c r="V15" s="55">
        <v>0</v>
      </c>
      <c r="W15" s="55">
        <f t="shared" si="0"/>
        <v>1.0474734876733016</v>
      </c>
      <c r="X15" s="65">
        <v>2.1256753802299497E-2</v>
      </c>
      <c r="Y15" s="54"/>
      <c r="Z15" s="54"/>
      <c r="AA15" s="54"/>
      <c r="AB15" s="54"/>
      <c r="AC15" s="54"/>
      <c r="AD15" s="54"/>
      <c r="AE15" s="54"/>
      <c r="AF15" s="54"/>
      <c r="AG15" s="66"/>
    </row>
    <row r="18" spans="2:2" x14ac:dyDescent="0.3">
      <c r="B18"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Fund I</vt:lpstr>
      <vt:lpstr>Fund IA</vt:lpstr>
      <vt:lpstr>Fund II</vt:lpstr>
      <vt:lpstr>Fund III</vt:lpstr>
      <vt:lpstr>Fund IV</vt:lpstr>
      <vt:lpstr>Fund V</vt:lpstr>
      <vt:lpstr>Fund IIA</vt:lpstr>
      <vt:lpstr>Fund IIB</vt:lpstr>
      <vt:lpstr>Fund 1X</vt:lpstr>
      <vt:lpstr>Fund 1Y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Tanmay Rane</dc:creator>
  <cp:lastModifiedBy>Alok Mehta</cp:lastModifiedBy>
  <dcterms:created xsi:type="dcterms:W3CDTF">2015-06-05T18:17:20Z</dcterms:created>
  <dcterms:modified xsi:type="dcterms:W3CDTF">2026-04-17T05:16:42Z</dcterms:modified>
</cp:coreProperties>
</file>